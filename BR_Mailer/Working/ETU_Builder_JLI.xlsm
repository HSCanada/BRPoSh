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S:\Business Reporting\ZDEV_BR_Scripts\BRPoSh\BR_Mailer\Working\"/>
    </mc:Choice>
  </mc:AlternateContent>
  <bookViews>
    <workbookView xWindow="14388" yWindow="168" windowWidth="14436" windowHeight="12828" activeTab="1"/>
  </bookViews>
  <sheets>
    <sheet name="Email Master" sheetId="2" r:id="rId1"/>
    <sheet name="Trans Page" sheetId="1" r:id="rId2"/>
    <sheet name="Working" sheetId="3" r:id="rId3"/>
    <sheet name="Monthly EE List" sheetId="5" r:id="rId4"/>
  </sheets>
  <definedNames>
    <definedName name="_xlnm._FilterDatabase" localSheetId="0" hidden="1">'Email Master'!$A$9:$AS$429</definedName>
  </definedNames>
  <calcPr calcId="152511"/>
</workbook>
</file>

<file path=xl/calcChain.xml><?xml version="1.0" encoding="utf-8"?>
<calcChain xmlns="http://schemas.openxmlformats.org/spreadsheetml/2006/main">
  <c r="N188" i="2" l="1"/>
  <c r="L188" i="2"/>
  <c r="H188" i="2"/>
  <c r="B188" i="2"/>
  <c r="N187" i="2"/>
  <c r="L187" i="2"/>
  <c r="H187" i="2"/>
  <c r="B187" i="2"/>
  <c r="N186" i="2"/>
  <c r="L186" i="2"/>
  <c r="H186" i="2"/>
  <c r="B186" i="2"/>
  <c r="N185" i="2"/>
  <c r="L185" i="2"/>
  <c r="H185" i="2"/>
  <c r="B185" i="2"/>
  <c r="N184" i="2"/>
  <c r="L184" i="2"/>
  <c r="H184" i="2"/>
  <c r="B184" i="2"/>
  <c r="L199" i="2" l="1"/>
  <c r="H199" i="2"/>
  <c r="B199" i="2"/>
  <c r="L163" i="2"/>
  <c r="H163" i="2"/>
  <c r="B163" i="2"/>
  <c r="L224" i="2" l="1"/>
  <c r="H224" i="2"/>
  <c r="B224" i="2"/>
  <c r="L428" i="2" l="1"/>
  <c r="H428" i="2"/>
  <c r="B428" i="2"/>
  <c r="L427" i="2"/>
  <c r="H427" i="2"/>
  <c r="B427" i="2"/>
  <c r="L425" i="2" l="1"/>
  <c r="H425" i="2"/>
  <c r="B425" i="2"/>
  <c r="L424" i="2" l="1"/>
  <c r="H424" i="2"/>
  <c r="B424" i="2"/>
  <c r="L423" i="2"/>
  <c r="H423" i="2"/>
  <c r="B423" i="2"/>
  <c r="L422" i="2" l="1"/>
  <c r="H422" i="2"/>
  <c r="B422" i="2"/>
  <c r="L421" i="2" l="1"/>
  <c r="H421" i="2"/>
  <c r="B421" i="2"/>
  <c r="L420" i="2" l="1"/>
  <c r="H420" i="2"/>
  <c r="B420" i="2"/>
  <c r="L426" i="2" l="1"/>
  <c r="H426" i="2"/>
  <c r="B426" i="2"/>
  <c r="H419" i="2" l="1"/>
  <c r="L419" i="2"/>
  <c r="B419" i="2"/>
  <c r="L418" i="2"/>
  <c r="H418" i="2"/>
  <c r="B418" i="2"/>
  <c r="L329" i="2" l="1"/>
  <c r="L262" i="2" l="1"/>
  <c r="H262" i="2"/>
  <c r="B262" i="2"/>
  <c r="L113" i="2" l="1"/>
  <c r="H113" i="2"/>
  <c r="B113" i="2"/>
  <c r="L114" i="2"/>
  <c r="H114" i="2"/>
  <c r="B114" i="2"/>
  <c r="L115" i="2"/>
  <c r="H115" i="2"/>
  <c r="B115" i="2"/>
  <c r="L335" i="2" l="1"/>
  <c r="H335" i="2"/>
  <c r="B335" i="2"/>
  <c r="L331" i="2" l="1"/>
  <c r="H331" i="2"/>
  <c r="B331" i="2"/>
  <c r="B329" i="2" l="1"/>
  <c r="L417" i="2" l="1"/>
  <c r="H417" i="2"/>
  <c r="B417" i="2"/>
  <c r="H46" i="2" l="1"/>
  <c r="B46" i="2"/>
  <c r="L46" i="2" l="1"/>
  <c r="L330" i="2" l="1"/>
  <c r="H330" i="2"/>
  <c r="B330" i="2"/>
  <c r="L152" i="2" l="1"/>
  <c r="H152" i="2"/>
  <c r="B152" i="2"/>
  <c r="L327" i="2" l="1"/>
  <c r="H327" i="2"/>
  <c r="B327" i="2"/>
  <c r="L328" i="2" l="1"/>
  <c r="H328" i="2"/>
  <c r="B328" i="2"/>
  <c r="L294" i="2" l="1"/>
  <c r="H294" i="2"/>
  <c r="B294" i="2"/>
  <c r="L293" i="2"/>
  <c r="H293" i="2"/>
  <c r="B293" i="2"/>
  <c r="L292" i="2"/>
  <c r="H292" i="2"/>
  <c r="B292" i="2"/>
  <c r="L291" i="2"/>
  <c r="H291" i="2"/>
  <c r="B291" i="2"/>
  <c r="L319" i="2"/>
  <c r="H319" i="2"/>
  <c r="B319" i="2"/>
  <c r="L306" i="2"/>
  <c r="H306" i="2"/>
  <c r="B306" i="2"/>
  <c r="L302" i="2"/>
  <c r="H302" i="2"/>
  <c r="B302" i="2"/>
  <c r="L326" i="2" l="1"/>
  <c r="H326" i="2"/>
  <c r="B326" i="2"/>
  <c r="L261" i="2" l="1"/>
  <c r="H261" i="2"/>
  <c r="B261" i="2"/>
  <c r="L325" i="2" l="1"/>
  <c r="H325" i="2"/>
  <c r="B325" i="2"/>
  <c r="L295" i="2" l="1"/>
  <c r="H295" i="2"/>
  <c r="B295" i="2"/>
  <c r="L259" i="2" l="1"/>
  <c r="H259" i="2"/>
  <c r="B259" i="2"/>
  <c r="L324" i="2" l="1"/>
  <c r="H324" i="2"/>
  <c r="B324" i="2"/>
  <c r="L260" i="2" l="1"/>
  <c r="H260" i="2"/>
  <c r="B260" i="2"/>
  <c r="L65" i="2" l="1"/>
  <c r="H65" i="2"/>
  <c r="B65" i="2"/>
  <c r="L257" i="2" l="1"/>
  <c r="H257" i="2"/>
  <c r="B257" i="2"/>
  <c r="L322" i="2" l="1"/>
  <c r="H322" i="2"/>
  <c r="B322" i="2"/>
  <c r="L321" i="2" l="1"/>
  <c r="H321" i="2"/>
  <c r="B321" i="2"/>
  <c r="L258" i="2"/>
  <c r="H258" i="2"/>
  <c r="B258" i="2"/>
  <c r="L255" i="2"/>
  <c r="H255" i="2"/>
  <c r="B255" i="2"/>
  <c r="L40" i="2" l="1"/>
  <c r="H40" i="2"/>
  <c r="B40" i="2"/>
  <c r="L383" i="2" l="1"/>
  <c r="H383" i="2"/>
  <c r="B383" i="2"/>
  <c r="L316" i="2" l="1"/>
  <c r="H316" i="2"/>
  <c r="B316" i="2"/>
  <c r="L256" i="2" l="1"/>
  <c r="H256" i="2"/>
  <c r="B256" i="2"/>
  <c r="L254" i="2" l="1"/>
  <c r="H254" i="2"/>
  <c r="B254" i="2"/>
  <c r="L315" i="2" l="1"/>
  <c r="H315" i="2"/>
  <c r="B315" i="2"/>
  <c r="L167" i="2" l="1"/>
  <c r="H167" i="2"/>
  <c r="B167" i="2"/>
  <c r="L323" i="2" l="1"/>
  <c r="H323" i="2"/>
  <c r="B323" i="2"/>
  <c r="L314" i="2" l="1"/>
  <c r="H314" i="2"/>
  <c r="B314" i="2"/>
  <c r="L209" i="2" l="1"/>
  <c r="H209" i="2"/>
  <c r="B209" i="2"/>
  <c r="L313" i="2" l="1"/>
  <c r="H313" i="2"/>
  <c r="B313" i="2"/>
  <c r="L310" i="2" l="1"/>
  <c r="H310" i="2"/>
  <c r="B310" i="2"/>
  <c r="L311" i="2"/>
  <c r="H311" i="2"/>
  <c r="B311" i="2"/>
  <c r="L253" i="2"/>
  <c r="H253" i="2"/>
  <c r="B253" i="2"/>
  <c r="L251" i="2" l="1"/>
  <c r="H251" i="2"/>
  <c r="B251" i="2"/>
  <c r="L309" i="2" l="1"/>
  <c r="H309" i="2"/>
  <c r="B309" i="2"/>
  <c r="L307" i="2" l="1"/>
  <c r="H307" i="2"/>
  <c r="B307" i="2"/>
  <c r="L305" i="2"/>
  <c r="H305" i="2"/>
  <c r="B305" i="2"/>
  <c r="L304" i="2"/>
  <c r="H304" i="2"/>
  <c r="B304" i="2"/>
  <c r="L308" i="2" l="1"/>
  <c r="H308" i="2"/>
  <c r="B308" i="2"/>
  <c r="L252" i="2" l="1"/>
  <c r="H252" i="2"/>
  <c r="B252" i="2"/>
  <c r="L250" i="2" l="1"/>
  <c r="H250" i="2"/>
  <c r="B250" i="2"/>
  <c r="L249" i="2"/>
  <c r="H249" i="2"/>
  <c r="B249" i="2"/>
  <c r="L118" i="2" l="1"/>
  <c r="H118" i="2"/>
  <c r="B118" i="2"/>
  <c r="L248" i="2" l="1"/>
  <c r="H248" i="2"/>
  <c r="B248" i="2"/>
  <c r="L246" i="2" l="1"/>
  <c r="H246" i="2"/>
  <c r="B246" i="2"/>
  <c r="L312" i="2" l="1"/>
  <c r="H312" i="2"/>
  <c r="B312" i="2"/>
  <c r="L247" i="2"/>
  <c r="H247" i="2"/>
  <c r="B247" i="2"/>
  <c r="L82" i="2" l="1"/>
  <c r="H82" i="2"/>
  <c r="B82" i="2"/>
  <c r="L352" i="2"/>
  <c r="H352" i="2"/>
  <c r="B352" i="2"/>
  <c r="F2" i="1" l="1"/>
  <c r="E2" i="1"/>
  <c r="C2" i="1"/>
  <c r="L299" i="2" l="1"/>
  <c r="H299" i="2"/>
  <c r="B299" i="2"/>
  <c r="L42" i="2" l="1"/>
  <c r="H42" i="2"/>
  <c r="B42" i="2"/>
  <c r="L245" i="2" l="1"/>
  <c r="H245" i="2"/>
  <c r="B245" i="2"/>
  <c r="L240" i="2" l="1"/>
  <c r="H240" i="2"/>
  <c r="B240" i="2"/>
  <c r="L215" i="2" l="1"/>
  <c r="C7" i="2"/>
  <c r="L298" i="2" l="1"/>
  <c r="H298" i="2"/>
  <c r="B298" i="2"/>
  <c r="L297" i="2"/>
  <c r="H297" i="2"/>
  <c r="B297" i="2"/>
  <c r="L230" i="2" l="1"/>
  <c r="L231" i="2"/>
  <c r="L244" i="2"/>
  <c r="H244" i="2"/>
  <c r="B244" i="2"/>
  <c r="L243" i="2"/>
  <c r="H243" i="2"/>
  <c r="B243" i="2"/>
  <c r="L241" i="2"/>
  <c r="H241" i="2"/>
  <c r="B241" i="2"/>
  <c r="H242" i="2" l="1"/>
  <c r="L296" i="2"/>
  <c r="H296" i="2"/>
  <c r="B296" i="2"/>
  <c r="C30" i="3" l="1"/>
  <c r="L242" i="2" l="1"/>
  <c r="B242" i="2"/>
  <c r="L266" i="2"/>
  <c r="H266" i="2"/>
  <c r="B266" i="2"/>
  <c r="B239" i="2"/>
  <c r="H239" i="2"/>
  <c r="L239" i="2"/>
  <c r="H230" i="2" l="1"/>
  <c r="H231" i="2"/>
  <c r="B230" i="2"/>
  <c r="B231" i="2"/>
  <c r="L126" i="2" l="1"/>
  <c r="H126" i="2"/>
  <c r="B126" i="2"/>
  <c r="L193" i="2" l="1"/>
  <c r="H193" i="2"/>
  <c r="B193" i="2"/>
  <c r="L355" i="2" l="1"/>
  <c r="H355" i="2"/>
  <c r="B355" i="2"/>
  <c r="L238" i="2" l="1"/>
  <c r="H238" i="2"/>
  <c r="B238" i="2"/>
  <c r="L237" i="2" l="1"/>
  <c r="H237" i="2"/>
  <c r="B237" i="2"/>
  <c r="L234" i="2"/>
  <c r="H234" i="2"/>
  <c r="B234" i="2"/>
  <c r="L235" i="2" l="1"/>
  <c r="H235" i="2"/>
  <c r="B235" i="2"/>
  <c r="L236" i="2" l="1"/>
  <c r="H236" i="2"/>
  <c r="B236" i="2"/>
  <c r="L288" i="2" l="1"/>
  <c r="H288" i="2"/>
  <c r="B288" i="2"/>
  <c r="L263" i="2" l="1"/>
  <c r="H263" i="2"/>
  <c r="B263" i="2"/>
  <c r="L233" i="2" l="1"/>
  <c r="H233" i="2"/>
  <c r="B233" i="2"/>
  <c r="L229" i="2" l="1"/>
  <c r="H229" i="2"/>
  <c r="B229" i="2"/>
  <c r="L191" i="2"/>
  <c r="H191" i="2"/>
  <c r="B191" i="2"/>
  <c r="L190" i="2"/>
  <c r="H190" i="2"/>
  <c r="B190" i="2"/>
  <c r="H227" i="2"/>
  <c r="H232" i="2"/>
  <c r="L232" i="2" l="1"/>
  <c r="L227" i="2"/>
  <c r="B232" i="2" l="1"/>
  <c r="B227" i="2"/>
  <c r="L228" i="2" l="1"/>
  <c r="H228" i="2"/>
  <c r="B228" i="2"/>
  <c r="L226" i="2"/>
  <c r="H226" i="2"/>
  <c r="B226" i="2"/>
  <c r="L318" i="2" l="1"/>
  <c r="H318" i="2"/>
  <c r="B318" i="2"/>
  <c r="L301" i="2"/>
  <c r="H301" i="2"/>
  <c r="B301" i="2"/>
  <c r="L349" i="2" l="1"/>
  <c r="H349" i="2"/>
  <c r="B349" i="2"/>
  <c r="L225" i="2" l="1"/>
  <c r="H225" i="2"/>
  <c r="B225" i="2"/>
  <c r="L220" i="2" l="1"/>
  <c r="H220" i="2"/>
  <c r="B220" i="2"/>
  <c r="L277" i="2" l="1"/>
  <c r="H277" i="2"/>
  <c r="B277" i="2"/>
  <c r="L221" i="2"/>
  <c r="H221" i="2"/>
  <c r="B221" i="2"/>
  <c r="L117" i="2" l="1"/>
  <c r="H117" i="2"/>
  <c r="B117" i="2"/>
  <c r="L223" i="2" l="1"/>
  <c r="H223" i="2"/>
  <c r="B223" i="2"/>
  <c r="L222" i="2"/>
  <c r="H222" i="2"/>
  <c r="B222" i="2"/>
  <c r="L320" i="2" l="1"/>
  <c r="H320" i="2"/>
  <c r="B320" i="2"/>
  <c r="L317" i="2"/>
  <c r="H317" i="2"/>
  <c r="B317" i="2"/>
  <c r="L303" i="2"/>
  <c r="H303" i="2"/>
  <c r="B303" i="2"/>
  <c r="F7" i="2" l="1"/>
  <c r="B300" i="2"/>
  <c r="H300" i="2" l="1"/>
  <c r="L300" i="2"/>
  <c r="L164" i="2" l="1"/>
  <c r="H164" i="2"/>
  <c r="B164" i="2"/>
  <c r="L61" i="2" l="1"/>
  <c r="H61" i="2"/>
  <c r="B61" i="2"/>
  <c r="L290" i="2" l="1"/>
  <c r="H290" i="2"/>
  <c r="B290" i="2"/>
  <c r="L218" i="2" l="1"/>
  <c r="H218" i="2"/>
  <c r="B218" i="2"/>
  <c r="L217" i="2"/>
  <c r="H217" i="2"/>
  <c r="B217" i="2"/>
  <c r="L289" i="2" l="1"/>
  <c r="H289" i="2"/>
  <c r="B289" i="2"/>
  <c r="L219" i="2" l="1"/>
  <c r="H219" i="2"/>
  <c r="B219" i="2"/>
  <c r="L169" i="2" l="1"/>
  <c r="H169" i="2"/>
  <c r="B169" i="2"/>
  <c r="L123" i="2" l="1"/>
  <c r="H123" i="2"/>
  <c r="B123" i="2"/>
  <c r="L214" i="2"/>
  <c r="H214" i="2"/>
  <c r="B214" i="2"/>
  <c r="L216" i="2"/>
  <c r="H216" i="2"/>
  <c r="B216" i="2"/>
  <c r="L287" i="2" l="1"/>
  <c r="H287" i="2"/>
  <c r="B287" i="2"/>
  <c r="L286" i="2"/>
  <c r="H286" i="2"/>
  <c r="B286" i="2"/>
  <c r="L339" i="2" l="1"/>
  <c r="H339" i="2"/>
  <c r="B339" i="2"/>
  <c r="L285" i="2" l="1"/>
  <c r="H285" i="2"/>
  <c r="B285" i="2"/>
  <c r="H215" i="2"/>
  <c r="B215" i="2"/>
  <c r="L213" i="2" l="1"/>
  <c r="H213" i="2"/>
  <c r="B213" i="2"/>
  <c r="L284" i="2" l="1"/>
  <c r="H284" i="2"/>
  <c r="B284" i="2"/>
  <c r="L283" i="2" l="1"/>
  <c r="H283" i="2"/>
  <c r="B283" i="2"/>
  <c r="L282" i="2" l="1"/>
  <c r="H282" i="2"/>
  <c r="B282" i="2"/>
  <c r="L119" i="2" l="1"/>
  <c r="H119" i="2"/>
  <c r="B119" i="2"/>
  <c r="L212" i="2" l="1"/>
  <c r="H212" i="2"/>
  <c r="B212" i="2"/>
  <c r="L75" i="2" l="1"/>
  <c r="H75" i="2"/>
  <c r="B75" i="2"/>
  <c r="L280" i="2" l="1"/>
  <c r="H280" i="2"/>
  <c r="B280" i="2"/>
  <c r="L200" i="2" l="1"/>
  <c r="H200" i="2"/>
  <c r="B200" i="2"/>
  <c r="L195" i="2"/>
  <c r="H195" i="2"/>
  <c r="B195" i="2"/>
  <c r="L183" i="2"/>
  <c r="H183" i="2"/>
  <c r="B183" i="2"/>
  <c r="L269" i="2"/>
  <c r="H269" i="2"/>
  <c r="B269" i="2"/>
  <c r="L332" i="2" l="1"/>
  <c r="H332" i="2"/>
  <c r="B332" i="2"/>
  <c r="L281" i="2" l="1"/>
  <c r="H281" i="2"/>
  <c r="B281" i="2"/>
  <c r="L210" i="2" l="1"/>
  <c r="H210" i="2"/>
  <c r="B210" i="2"/>
  <c r="L16" i="2" l="1"/>
  <c r="L20" i="2"/>
  <c r="L21" i="2"/>
  <c r="L24" i="2"/>
  <c r="L81" i="2"/>
  <c r="L35" i="2"/>
  <c r="L79" i="2"/>
  <c r="L38" i="2"/>
  <c r="L67" i="2"/>
  <c r="L55" i="2"/>
  <c r="L53" i="2"/>
  <c r="L52" i="2"/>
  <c r="L57" i="2"/>
  <c r="L43" i="2"/>
  <c r="L353" i="2"/>
  <c r="L354" i="2"/>
  <c r="L360" i="2"/>
  <c r="L361" i="2"/>
  <c r="L356" i="2"/>
  <c r="L348" i="2"/>
  <c r="L359" i="2"/>
  <c r="L111" i="2"/>
  <c r="L101" i="2"/>
  <c r="L97" i="2"/>
  <c r="L12" i="2"/>
  <c r="L10" i="2"/>
  <c r="L11" i="2"/>
  <c r="L14" i="2"/>
  <c r="L15" i="2"/>
  <c r="L17" i="2"/>
  <c r="L497" i="2"/>
  <c r="L18" i="2"/>
  <c r="L19" i="2"/>
  <c r="L22" i="2"/>
  <c r="L23" i="2"/>
  <c r="L25" i="2"/>
  <c r="L26" i="2"/>
  <c r="L27" i="2"/>
  <c r="L28" i="2"/>
  <c r="L29" i="2"/>
  <c r="L30" i="2"/>
  <c r="L31" i="2"/>
  <c r="L32" i="2"/>
  <c r="L33" i="2"/>
  <c r="L34" i="2"/>
  <c r="L36" i="2"/>
  <c r="L37" i="2"/>
  <c r="L39" i="2"/>
  <c r="L41" i="2"/>
  <c r="L44" i="2"/>
  <c r="L47" i="2"/>
  <c r="L48" i="2"/>
  <c r="L49" i="2"/>
  <c r="L50" i="2"/>
  <c r="L51" i="2"/>
  <c r="L56" i="2"/>
  <c r="L58" i="2"/>
  <c r="L59" i="2"/>
  <c r="L60" i="2"/>
  <c r="L63" i="2"/>
  <c r="L64" i="2"/>
  <c r="L66" i="2"/>
  <c r="L68" i="2"/>
  <c r="L69" i="2"/>
  <c r="L70" i="2"/>
  <c r="L71" i="2"/>
  <c r="L72" i="2"/>
  <c r="L73" i="2"/>
  <c r="L74" i="2"/>
  <c r="L76" i="2"/>
  <c r="L77" i="2"/>
  <c r="L78" i="2"/>
  <c r="L80" i="2"/>
  <c r="L83" i="2"/>
  <c r="L84" i="2"/>
  <c r="L85" i="2"/>
  <c r="L86" i="2"/>
  <c r="L87" i="2"/>
  <c r="L90" i="2"/>
  <c r="L91" i="2"/>
  <c r="L92" i="2"/>
  <c r="L93" i="2"/>
  <c r="L94" i="2"/>
  <c r="L95" i="2"/>
  <c r="L96" i="2"/>
  <c r="L98" i="2"/>
  <c r="L100" i="2"/>
  <c r="L102" i="2"/>
  <c r="L103" i="2"/>
  <c r="L104" i="2"/>
  <c r="L105" i="2"/>
  <c r="L106" i="2"/>
  <c r="L107" i="2"/>
  <c r="L108" i="2"/>
  <c r="L109" i="2"/>
  <c r="L116" i="2"/>
  <c r="L120" i="2"/>
  <c r="L124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3" i="2"/>
  <c r="L154" i="2"/>
  <c r="L155" i="2"/>
  <c r="L156" i="2"/>
  <c r="L157" i="2"/>
  <c r="L158" i="2"/>
  <c r="L159" i="2"/>
  <c r="L161" i="2"/>
  <c r="L162" i="2"/>
  <c r="L165" i="2"/>
  <c r="L166" i="2"/>
  <c r="L168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94" i="2"/>
  <c r="L197" i="2"/>
  <c r="L264" i="2"/>
  <c r="L265" i="2"/>
  <c r="L267" i="2"/>
  <c r="L268" i="2"/>
  <c r="L333" i="2"/>
  <c r="L334" i="2"/>
  <c r="L336" i="2"/>
  <c r="L337" i="2"/>
  <c r="L338" i="2"/>
  <c r="L340" i="2"/>
  <c r="L341" i="2"/>
  <c r="L342" i="2"/>
  <c r="L343" i="2"/>
  <c r="L344" i="2"/>
  <c r="L345" i="2"/>
  <c r="L346" i="2"/>
  <c r="L347" i="2"/>
  <c r="L350" i="2"/>
  <c r="L351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8" i="2"/>
  <c r="L379" i="2"/>
  <c r="L380" i="2"/>
  <c r="L381" i="2"/>
  <c r="L382" i="2"/>
  <c r="L384" i="2"/>
  <c r="L385" i="2"/>
  <c r="L388" i="2"/>
  <c r="L389" i="2"/>
  <c r="L390" i="2"/>
  <c r="L391" i="2"/>
  <c r="L392" i="2"/>
  <c r="L393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62" i="2"/>
  <c r="L110" i="2"/>
  <c r="L121" i="2"/>
  <c r="L198" i="2"/>
  <c r="L270" i="2"/>
  <c r="L99" i="2"/>
  <c r="L201" i="2"/>
  <c r="L496" i="2"/>
  <c r="L196" i="2"/>
  <c r="L13" i="2"/>
  <c r="L273" i="2"/>
  <c r="L272" i="2"/>
  <c r="L202" i="2"/>
  <c r="L271" i="2"/>
  <c r="L203" i="2"/>
  <c r="L204" i="2"/>
  <c r="L205" i="2"/>
  <c r="L274" i="2"/>
  <c r="L45" i="2"/>
  <c r="L508" i="2"/>
  <c r="L387" i="2"/>
  <c r="L386" i="2"/>
  <c r="L160" i="2"/>
  <c r="L127" i="2"/>
  <c r="L125" i="2"/>
  <c r="L416" i="2"/>
  <c r="L122" i="2"/>
  <c r="L357" i="2"/>
  <c r="L89" i="2"/>
  <c r="L54" i="2"/>
  <c r="L358" i="2"/>
  <c r="L376" i="2"/>
  <c r="L112" i="2"/>
  <c r="L593" i="2"/>
  <c r="L189" i="2"/>
  <c r="L394" i="2"/>
  <c r="L192" i="2"/>
  <c r="L377" i="2"/>
  <c r="L363" i="2"/>
  <c r="L362" i="2"/>
  <c r="L207" i="2"/>
  <c r="L275" i="2"/>
  <c r="L278" i="2"/>
  <c r="L276" i="2"/>
  <c r="L206" i="2"/>
  <c r="L208" i="2"/>
  <c r="L279" i="2"/>
  <c r="L211" i="2"/>
  <c r="H211" i="2" l="1"/>
  <c r="B211" i="2"/>
  <c r="H362" i="2" l="1"/>
  <c r="B362" i="2"/>
  <c r="H363" i="2"/>
  <c r="B363" i="2"/>
  <c r="B416" i="2" l="1"/>
  <c r="B122" i="2"/>
  <c r="H122" i="2" l="1"/>
  <c r="H416" i="2"/>
  <c r="B357" i="2"/>
  <c r="H357" i="2"/>
  <c r="H279" i="2" l="1"/>
  <c r="B279" i="2"/>
  <c r="H208" i="2"/>
  <c r="B208" i="2"/>
  <c r="F4" i="2" l="1"/>
  <c r="C31" i="3" l="1"/>
  <c r="H278" i="2" l="1"/>
  <c r="B278" i="2"/>
  <c r="H275" i="2" l="1"/>
  <c r="B275" i="2"/>
  <c r="C29" i="3" l="1"/>
  <c r="H206" i="2" l="1"/>
  <c r="B206" i="2"/>
  <c r="H276" i="2"/>
  <c r="B276" i="2"/>
  <c r="H207" i="2" l="1"/>
  <c r="B207" i="2"/>
  <c r="H274" i="2" l="1"/>
  <c r="B274" i="2"/>
  <c r="H192" i="2" l="1"/>
  <c r="B192" i="2"/>
  <c r="H394" i="2"/>
  <c r="B394" i="2"/>
  <c r="H189" i="2"/>
  <c r="B189" i="2"/>
  <c r="B593" i="2"/>
  <c r="H112" i="2"/>
  <c r="B112" i="2"/>
  <c r="H376" i="2"/>
  <c r="B376" i="2"/>
  <c r="H358" i="2"/>
  <c r="B358" i="2"/>
  <c r="H54" i="2"/>
  <c r="B54" i="2"/>
  <c r="H89" i="2"/>
  <c r="B89" i="2"/>
  <c r="H125" i="2"/>
  <c r="B125" i="2"/>
  <c r="H127" i="2"/>
  <c r="B127" i="2"/>
  <c r="H160" i="2"/>
  <c r="B160" i="2"/>
  <c r="H386" i="2"/>
  <c r="B386" i="2"/>
  <c r="H387" i="2"/>
  <c r="B387" i="2"/>
  <c r="H45" i="2"/>
  <c r="B45" i="2"/>
  <c r="H205" i="2"/>
  <c r="B205" i="2"/>
  <c r="H204" i="2" l="1"/>
  <c r="B204" i="2"/>
  <c r="H377" i="2" l="1"/>
  <c r="B377" i="2"/>
  <c r="H203" i="2" l="1"/>
  <c r="B203" i="2"/>
  <c r="H271" i="2"/>
  <c r="B271" i="2"/>
  <c r="H202" i="2" l="1"/>
  <c r="B202" i="2"/>
  <c r="H272" i="2"/>
  <c r="B272" i="2"/>
  <c r="H273" i="2" l="1"/>
  <c r="B273" i="2"/>
  <c r="H13" i="2"/>
  <c r="B13" i="2"/>
  <c r="H196" i="2" l="1"/>
  <c r="B196" i="2"/>
  <c r="H201" i="2" l="1"/>
  <c r="B201" i="2"/>
  <c r="H99" i="2" l="1"/>
  <c r="B99" i="2"/>
  <c r="H198" i="2" l="1"/>
  <c r="B198" i="2"/>
  <c r="H270" i="2" l="1"/>
  <c r="B270" i="2"/>
  <c r="H121" i="2" l="1"/>
  <c r="B121" i="2"/>
  <c r="H110" i="2"/>
  <c r="B110" i="2"/>
  <c r="H62" i="2"/>
  <c r="B62" i="2"/>
  <c r="H97" i="2" l="1"/>
  <c r="C28" i="3" l="1"/>
  <c r="H268" i="2" l="1"/>
  <c r="B268" i="2"/>
  <c r="H197" i="2" l="1"/>
  <c r="B197" i="2"/>
  <c r="B264" i="2"/>
  <c r="H264" i="2"/>
  <c r="H27" i="2" l="1"/>
  <c r="B27" i="2"/>
  <c r="H267" i="2" l="1"/>
  <c r="B267" i="2"/>
  <c r="H85" i="2" l="1"/>
  <c r="B85" i="2"/>
  <c r="H265" i="2" l="1"/>
  <c r="B265" i="2"/>
  <c r="H11" i="2"/>
  <c r="B11" i="2"/>
  <c r="H10" i="2"/>
  <c r="B10" i="2"/>
  <c r="L458" i="2"/>
  <c r="H90" i="2"/>
  <c r="B90" i="2"/>
  <c r="H406" i="2"/>
  <c r="B406" i="2"/>
  <c r="H194" i="2" l="1"/>
  <c r="B194" i="2"/>
  <c r="H182" i="2"/>
  <c r="B182" i="2"/>
  <c r="L469" i="2"/>
  <c r="L88" i="2"/>
  <c r="L467" i="2"/>
  <c r="L455" i="2"/>
  <c r="L476" i="2"/>
  <c r="L470" i="2"/>
  <c r="L463" i="2"/>
  <c r="L462" i="2"/>
  <c r="C25" i="3" l="1"/>
  <c r="C24" i="3"/>
  <c r="C23" i="3"/>
  <c r="H53" i="2" l="1"/>
  <c r="H137" i="2"/>
  <c r="H12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8" i="2"/>
  <c r="H34" i="2"/>
  <c r="H35" i="2"/>
  <c r="H36" i="2"/>
  <c r="H38" i="2"/>
  <c r="H39" i="2"/>
  <c r="H43" i="2"/>
  <c r="H47" i="2"/>
  <c r="H48" i="2"/>
  <c r="H49" i="2"/>
  <c r="H50" i="2"/>
  <c r="H51" i="2"/>
  <c r="H52" i="2"/>
  <c r="H55" i="2"/>
  <c r="H57" i="2"/>
  <c r="H60" i="2"/>
  <c r="H66" i="2"/>
  <c r="H67" i="2"/>
  <c r="H68" i="2"/>
  <c r="H73" i="2"/>
  <c r="H76" i="2"/>
  <c r="H79" i="2"/>
  <c r="H80" i="2"/>
  <c r="H81" i="2"/>
  <c r="H83" i="2"/>
  <c r="H87" i="2"/>
  <c r="H88" i="2"/>
  <c r="H92" i="2"/>
  <c r="H95" i="2"/>
  <c r="H101" i="2"/>
  <c r="H102" i="2"/>
  <c r="H103" i="2"/>
  <c r="H104" i="2"/>
  <c r="H105" i="2"/>
  <c r="H109" i="2"/>
  <c r="H111" i="2"/>
  <c r="H116" i="2"/>
  <c r="H120" i="2"/>
  <c r="H128" i="2"/>
  <c r="H129" i="2"/>
  <c r="H130" i="2"/>
  <c r="H131" i="2"/>
  <c r="H132" i="2"/>
  <c r="H133" i="2"/>
  <c r="H134" i="2"/>
  <c r="H138" i="2"/>
  <c r="H139" i="2"/>
  <c r="H143" i="2"/>
  <c r="H145" i="2"/>
  <c r="H146" i="2"/>
  <c r="H147" i="2"/>
  <c r="H148" i="2"/>
  <c r="H149" i="2"/>
  <c r="H150" i="2"/>
  <c r="H151" i="2"/>
  <c r="H153" i="2"/>
  <c r="H154" i="2"/>
  <c r="H156" i="2"/>
  <c r="H158" i="2"/>
  <c r="H161" i="2"/>
  <c r="H162" i="2"/>
  <c r="H168" i="2"/>
  <c r="H170" i="2"/>
  <c r="H171" i="2"/>
  <c r="H175" i="2"/>
  <c r="H176" i="2"/>
  <c r="H177" i="2"/>
  <c r="H178" i="2"/>
  <c r="H179" i="2"/>
  <c r="H336" i="2"/>
  <c r="H338" i="2"/>
  <c r="H340" i="2"/>
  <c r="H341" i="2"/>
  <c r="H343" i="2"/>
  <c r="H345" i="2"/>
  <c r="H348" i="2"/>
  <c r="H353" i="2"/>
  <c r="H354" i="2"/>
  <c r="H356" i="2"/>
  <c r="H359" i="2"/>
  <c r="H360" i="2"/>
  <c r="H361" i="2"/>
  <c r="H365" i="2"/>
  <c r="H367" i="2"/>
  <c r="H369" i="2"/>
  <c r="H370" i="2"/>
  <c r="H371" i="2"/>
  <c r="H372" i="2"/>
  <c r="H375" i="2"/>
  <c r="H378" i="2"/>
  <c r="H379" i="2"/>
  <c r="H380" i="2"/>
  <c r="H381" i="2"/>
  <c r="H384" i="2"/>
  <c r="H385" i="2"/>
  <c r="H388" i="2"/>
  <c r="H389" i="2"/>
  <c r="H391" i="2"/>
  <c r="H392" i="2"/>
  <c r="H393" i="2"/>
  <c r="H401" i="2"/>
  <c r="H402" i="2"/>
  <c r="H403" i="2"/>
  <c r="H404" i="2"/>
  <c r="H405" i="2"/>
  <c r="H407" i="2"/>
  <c r="H408" i="2"/>
  <c r="H409" i="2"/>
  <c r="H410" i="2"/>
  <c r="H411" i="2"/>
  <c r="H412" i="2"/>
  <c r="H413" i="2"/>
  <c r="H414" i="2"/>
  <c r="H415" i="2"/>
  <c r="H29" i="2"/>
  <c r="H30" i="2"/>
  <c r="H31" i="2"/>
  <c r="H32" i="2"/>
  <c r="H33" i="2"/>
  <c r="H37" i="2"/>
  <c r="H41" i="2"/>
  <c r="H44" i="2"/>
  <c r="H56" i="2"/>
  <c r="H58" i="2"/>
  <c r="H59" i="2"/>
  <c r="H63" i="2"/>
  <c r="H64" i="2"/>
  <c r="H69" i="2"/>
  <c r="H70" i="2"/>
  <c r="H71" i="2"/>
  <c r="H72" i="2"/>
  <c r="H74" i="2"/>
  <c r="H77" i="2"/>
  <c r="H78" i="2"/>
  <c r="H84" i="2"/>
  <c r="H86" i="2"/>
  <c r="H91" i="2"/>
  <c r="H93" i="2"/>
  <c r="H94" i="2"/>
  <c r="H96" i="2"/>
  <c r="H98" i="2"/>
  <c r="H100" i="2"/>
  <c r="H106" i="2"/>
  <c r="H107" i="2"/>
  <c r="H108" i="2"/>
  <c r="H124" i="2"/>
  <c r="H135" i="2"/>
  <c r="H136" i="2"/>
  <c r="H140" i="2"/>
  <c r="H141" i="2"/>
  <c r="H142" i="2"/>
  <c r="H144" i="2"/>
  <c r="H155" i="2"/>
  <c r="H157" i="2"/>
  <c r="H159" i="2"/>
  <c r="H165" i="2"/>
  <c r="H166" i="2"/>
  <c r="H172" i="2"/>
  <c r="H173" i="2"/>
  <c r="H174" i="2"/>
  <c r="H333" i="2"/>
  <c r="H334" i="2"/>
  <c r="H337" i="2"/>
  <c r="H342" i="2"/>
  <c r="H344" i="2"/>
  <c r="H346" i="2"/>
  <c r="H347" i="2"/>
  <c r="H350" i="2"/>
  <c r="H351" i="2"/>
  <c r="H364" i="2"/>
  <c r="H366" i="2"/>
  <c r="H368" i="2"/>
  <c r="H373" i="2"/>
  <c r="H374" i="2"/>
  <c r="H382" i="2"/>
  <c r="H390" i="2"/>
  <c r="H395" i="2"/>
  <c r="H396" i="2"/>
  <c r="H397" i="2"/>
  <c r="H398" i="2"/>
  <c r="H399" i="2"/>
  <c r="H400" i="2"/>
  <c r="H180" i="2"/>
  <c r="H181" i="2"/>
  <c r="B137" i="2"/>
  <c r="B12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8" i="2"/>
  <c r="B34" i="2"/>
  <c r="B35" i="2"/>
  <c r="B36" i="2"/>
  <c r="B38" i="2"/>
  <c r="B39" i="2"/>
  <c r="B43" i="2"/>
  <c r="B47" i="2"/>
  <c r="B48" i="2"/>
  <c r="B49" i="2"/>
  <c r="B50" i="2"/>
  <c r="B51" i="2"/>
  <c r="B52" i="2"/>
  <c r="B55" i="2"/>
  <c r="B57" i="2"/>
  <c r="B60" i="2"/>
  <c r="B66" i="2"/>
  <c r="B67" i="2"/>
  <c r="B68" i="2"/>
  <c r="B73" i="2"/>
  <c r="B76" i="2"/>
  <c r="B79" i="2"/>
  <c r="B80" i="2"/>
  <c r="B81" i="2"/>
  <c r="B83" i="2"/>
  <c r="B87" i="2"/>
  <c r="B88" i="2"/>
  <c r="B92" i="2"/>
  <c r="B95" i="2"/>
  <c r="B101" i="2"/>
  <c r="B102" i="2"/>
  <c r="B103" i="2"/>
  <c r="B104" i="2"/>
  <c r="B105" i="2"/>
  <c r="B109" i="2"/>
  <c r="B111" i="2"/>
  <c r="B116" i="2"/>
  <c r="B120" i="2"/>
  <c r="B128" i="2"/>
  <c r="B129" i="2"/>
  <c r="B130" i="2"/>
  <c r="B131" i="2"/>
  <c r="B132" i="2"/>
  <c r="B133" i="2"/>
  <c r="B134" i="2"/>
  <c r="B138" i="2"/>
  <c r="B139" i="2"/>
  <c r="B143" i="2"/>
  <c r="B145" i="2"/>
  <c r="B146" i="2"/>
  <c r="B147" i="2"/>
  <c r="B148" i="2"/>
  <c r="B149" i="2"/>
  <c r="B150" i="2"/>
  <c r="B151" i="2"/>
  <c r="B153" i="2"/>
  <c r="B154" i="2"/>
  <c r="B156" i="2"/>
  <c r="B158" i="2"/>
  <c r="B161" i="2"/>
  <c r="B162" i="2"/>
  <c r="B168" i="2"/>
  <c r="B170" i="2"/>
  <c r="B171" i="2"/>
  <c r="B175" i="2"/>
  <c r="B176" i="2"/>
  <c r="B177" i="2"/>
  <c r="B178" i="2"/>
  <c r="B179" i="2"/>
  <c r="B336" i="2"/>
  <c r="B338" i="2"/>
  <c r="B340" i="2"/>
  <c r="B341" i="2"/>
  <c r="B343" i="2"/>
  <c r="B345" i="2"/>
  <c r="B348" i="2"/>
  <c r="B353" i="2"/>
  <c r="B354" i="2"/>
  <c r="B356" i="2"/>
  <c r="B359" i="2"/>
  <c r="B360" i="2"/>
  <c r="B361" i="2"/>
  <c r="B365" i="2"/>
  <c r="B367" i="2"/>
  <c r="B369" i="2"/>
  <c r="B370" i="2"/>
  <c r="B371" i="2"/>
  <c r="B372" i="2"/>
  <c r="B375" i="2"/>
  <c r="B378" i="2"/>
  <c r="B379" i="2"/>
  <c r="B380" i="2"/>
  <c r="B381" i="2"/>
  <c r="B384" i="2"/>
  <c r="B385" i="2"/>
  <c r="B388" i="2"/>
  <c r="B389" i="2"/>
  <c r="B391" i="2"/>
  <c r="B392" i="2"/>
  <c r="B393" i="2"/>
  <c r="B401" i="2"/>
  <c r="B402" i="2"/>
  <c r="B403" i="2"/>
  <c r="B404" i="2"/>
  <c r="B405" i="2"/>
  <c r="B407" i="2"/>
  <c r="B408" i="2"/>
  <c r="B409" i="2"/>
  <c r="B410" i="2"/>
  <c r="B411" i="2"/>
  <c r="B412" i="2"/>
  <c r="B413" i="2"/>
  <c r="B414" i="2"/>
  <c r="B415" i="2"/>
  <c r="B29" i="2"/>
  <c r="B30" i="2"/>
  <c r="B31" i="2"/>
  <c r="B32" i="2"/>
  <c r="B33" i="2"/>
  <c r="B37" i="2"/>
  <c r="B41" i="2"/>
  <c r="B44" i="2"/>
  <c r="B56" i="2"/>
  <c r="B58" i="2"/>
  <c r="B59" i="2"/>
  <c r="B63" i="2"/>
  <c r="B64" i="2"/>
  <c r="B69" i="2"/>
  <c r="B70" i="2"/>
  <c r="B71" i="2"/>
  <c r="B72" i="2"/>
  <c r="B74" i="2"/>
  <c r="B77" i="2"/>
  <c r="B78" i="2"/>
  <c r="B84" i="2"/>
  <c r="B86" i="2"/>
  <c r="B91" i="2"/>
  <c r="B93" i="2"/>
  <c r="B94" i="2"/>
  <c r="B96" i="2"/>
  <c r="B98" i="2"/>
  <c r="B100" i="2"/>
  <c r="B106" i="2"/>
  <c r="B107" i="2"/>
  <c r="B108" i="2"/>
  <c r="B124" i="2"/>
  <c r="B135" i="2"/>
  <c r="B136" i="2"/>
  <c r="B140" i="2"/>
  <c r="B141" i="2"/>
  <c r="B142" i="2"/>
  <c r="B144" i="2"/>
  <c r="B155" i="2"/>
  <c r="B157" i="2"/>
  <c r="B159" i="2"/>
  <c r="B165" i="2"/>
  <c r="B166" i="2"/>
  <c r="B172" i="2"/>
  <c r="B173" i="2"/>
  <c r="B174" i="2"/>
  <c r="B333" i="2"/>
  <c r="B334" i="2"/>
  <c r="B337" i="2"/>
  <c r="B342" i="2"/>
  <c r="B344" i="2"/>
  <c r="B346" i="2"/>
  <c r="B347" i="2"/>
  <c r="B350" i="2"/>
  <c r="B351" i="2"/>
  <c r="B364" i="2"/>
  <c r="B366" i="2"/>
  <c r="B368" i="2"/>
  <c r="B373" i="2"/>
  <c r="B374" i="2"/>
  <c r="B382" i="2"/>
  <c r="B390" i="2"/>
  <c r="B395" i="2"/>
  <c r="B396" i="2"/>
  <c r="B397" i="2"/>
  <c r="B398" i="2"/>
  <c r="B399" i="2"/>
  <c r="B400" i="2"/>
  <c r="B180" i="2"/>
  <c r="B181" i="2"/>
  <c r="B97" i="2"/>
  <c r="B53" i="2"/>
  <c r="B15" i="3" l="1"/>
  <c r="P7" i="2" s="1"/>
  <c r="B14" i="3"/>
  <c r="B13" i="3"/>
  <c r="B12" i="3"/>
  <c r="B11" i="3"/>
  <c r="B10" i="3"/>
  <c r="P6" i="2" s="1"/>
  <c r="B9" i="3"/>
  <c r="P5" i="2" s="1"/>
  <c r="B8" i="3"/>
  <c r="P4" i="2" s="1"/>
  <c r="M185" i="2" l="1"/>
  <c r="M187" i="2"/>
  <c r="M188" i="2"/>
  <c r="M186" i="2"/>
  <c r="M184" i="2"/>
  <c r="N163" i="2"/>
  <c r="N199" i="2"/>
  <c r="M163" i="2"/>
  <c r="M199" i="2"/>
  <c r="N224" i="2"/>
  <c r="N428" i="2"/>
  <c r="N427" i="2"/>
  <c r="N425" i="2"/>
  <c r="N424" i="2"/>
  <c r="N423" i="2"/>
  <c r="M425" i="2"/>
  <c r="M224" i="2"/>
  <c r="M428" i="2"/>
  <c r="M427" i="2"/>
  <c r="M423" i="2"/>
  <c r="M424" i="2"/>
  <c r="N421" i="2"/>
  <c r="N422" i="2"/>
  <c r="M421" i="2"/>
  <c r="M422" i="2"/>
  <c r="N426" i="2"/>
  <c r="N420" i="2"/>
  <c r="M426" i="2"/>
  <c r="M420" i="2"/>
  <c r="N419" i="2"/>
  <c r="N418" i="2"/>
  <c r="M418" i="2"/>
  <c r="M419" i="2"/>
  <c r="N262" i="2"/>
  <c r="N113" i="2"/>
  <c r="N114" i="2"/>
  <c r="N115" i="2"/>
  <c r="N335" i="2"/>
  <c r="M113" i="2"/>
  <c r="M262" i="2"/>
  <c r="M114" i="2"/>
  <c r="M115" i="2"/>
  <c r="M331" i="2"/>
  <c r="M335" i="2"/>
  <c r="N330" i="2"/>
  <c r="N331" i="2"/>
  <c r="N417" i="2"/>
  <c r="N46" i="2"/>
  <c r="M417" i="2"/>
  <c r="M329" i="2"/>
  <c r="M46" i="2"/>
  <c r="M152" i="2"/>
  <c r="M330" i="2"/>
  <c r="N327" i="2"/>
  <c r="N152" i="2"/>
  <c r="M328" i="2"/>
  <c r="M327" i="2"/>
  <c r="N328" i="2"/>
  <c r="N293" i="2"/>
  <c r="N291" i="2"/>
  <c r="N302" i="2"/>
  <c r="N294" i="2"/>
  <c r="N292" i="2"/>
  <c r="N319" i="2"/>
  <c r="N306" i="2"/>
  <c r="M319" i="2"/>
  <c r="M291" i="2"/>
  <c r="M293" i="2"/>
  <c r="M294" i="2"/>
  <c r="M292" i="2"/>
  <c r="M302" i="2"/>
  <c r="M306" i="2"/>
  <c r="N261" i="2"/>
  <c r="N326" i="2"/>
  <c r="M261" i="2"/>
  <c r="M326" i="2"/>
  <c r="N325" i="2"/>
  <c r="M325" i="2"/>
  <c r="N65" i="2"/>
  <c r="N295" i="2"/>
  <c r="N259" i="2"/>
  <c r="N324" i="2"/>
  <c r="N260" i="2"/>
  <c r="M259" i="2"/>
  <c r="M295" i="2"/>
  <c r="M260" i="2"/>
  <c r="M324" i="2"/>
  <c r="M257" i="2"/>
  <c r="M65" i="2"/>
  <c r="N322" i="2"/>
  <c r="N257" i="2"/>
  <c r="M322" i="2"/>
  <c r="N258" i="2"/>
  <c r="N321" i="2"/>
  <c r="N255" i="2"/>
  <c r="N40" i="2"/>
  <c r="M258" i="2"/>
  <c r="M321" i="2"/>
  <c r="M40" i="2"/>
  <c r="M255" i="2"/>
  <c r="N383" i="2"/>
  <c r="N316" i="2"/>
  <c r="N256" i="2"/>
  <c r="N254" i="2"/>
  <c r="N315" i="2"/>
  <c r="M316" i="2"/>
  <c r="M383" i="2"/>
  <c r="M254" i="2"/>
  <c r="M256" i="2"/>
  <c r="M167" i="2"/>
  <c r="M315" i="2"/>
  <c r="N323" i="2"/>
  <c r="N167" i="2"/>
  <c r="M323" i="2"/>
  <c r="N314" i="2"/>
  <c r="M209" i="2"/>
  <c r="M314" i="2"/>
  <c r="N209" i="2"/>
  <c r="N313" i="2"/>
  <c r="M310" i="2"/>
  <c r="M313" i="2"/>
  <c r="N311" i="2"/>
  <c r="N310" i="2"/>
  <c r="M253" i="2"/>
  <c r="M311" i="2"/>
  <c r="N251" i="2"/>
  <c r="N253" i="2"/>
  <c r="M309" i="2"/>
  <c r="M251" i="2"/>
  <c r="N250" i="2"/>
  <c r="N309" i="2"/>
  <c r="N307" i="2"/>
  <c r="N305" i="2"/>
  <c r="N304" i="2"/>
  <c r="N308" i="2"/>
  <c r="N252" i="2"/>
  <c r="M307" i="2"/>
  <c r="M304" i="2"/>
  <c r="M305" i="2"/>
  <c r="M252" i="2"/>
  <c r="M308" i="2"/>
  <c r="M250" i="2"/>
  <c r="N118" i="2"/>
  <c r="N249" i="2"/>
  <c r="M118" i="2"/>
  <c r="M249" i="2"/>
  <c r="N246" i="2"/>
  <c r="N248" i="2"/>
  <c r="M246" i="2"/>
  <c r="M248" i="2"/>
  <c r="N312" i="2"/>
  <c r="N247" i="2"/>
  <c r="M312" i="2"/>
  <c r="M247" i="2"/>
  <c r="N82" i="2"/>
  <c r="N352" i="2"/>
  <c r="M82" i="2"/>
  <c r="M352" i="2"/>
  <c r="N299" i="2"/>
  <c r="N42" i="2"/>
  <c r="M299" i="2"/>
  <c r="M245" i="2"/>
  <c r="M42" i="2"/>
  <c r="N240" i="2"/>
  <c r="N245" i="2"/>
  <c r="M240" i="2"/>
  <c r="N298" i="2"/>
  <c r="N297" i="2"/>
  <c r="M298" i="2"/>
  <c r="M297" i="2"/>
  <c r="N244" i="2"/>
  <c r="N243" i="2"/>
  <c r="N241" i="2"/>
  <c r="N296" i="2"/>
  <c r="M244" i="2"/>
  <c r="M243" i="2"/>
  <c r="M296" i="2"/>
  <c r="M241" i="2"/>
  <c r="N242" i="2"/>
  <c r="N266" i="2"/>
  <c r="N239" i="2"/>
  <c r="M242" i="2"/>
  <c r="M266" i="2"/>
  <c r="M239" i="2"/>
  <c r="N230" i="2"/>
  <c r="N231" i="2"/>
  <c r="M230" i="2"/>
  <c r="M231" i="2"/>
  <c r="N193" i="2"/>
  <c r="N126" i="2"/>
  <c r="M193" i="2"/>
  <c r="M126" i="2"/>
  <c r="N238" i="2"/>
  <c r="N355" i="2"/>
  <c r="M238" i="2"/>
  <c r="M355" i="2"/>
  <c r="N237" i="2"/>
  <c r="M237" i="2"/>
  <c r="N235" i="2"/>
  <c r="N234" i="2"/>
  <c r="M235" i="2"/>
  <c r="M234" i="2"/>
  <c r="N263" i="2"/>
  <c r="N236" i="2"/>
  <c r="N288" i="2"/>
  <c r="M288" i="2"/>
  <c r="M236" i="2"/>
  <c r="M263" i="2"/>
  <c r="N229" i="2"/>
  <c r="N233" i="2"/>
  <c r="M229" i="2"/>
  <c r="M233" i="2"/>
  <c r="N191" i="2"/>
  <c r="N190" i="2"/>
  <c r="M191" i="2"/>
  <c r="M190" i="2"/>
  <c r="N232" i="2"/>
  <c r="N227" i="2"/>
  <c r="M227" i="2"/>
  <c r="M232" i="2"/>
  <c r="N228" i="2"/>
  <c r="N226" i="2"/>
  <c r="M228" i="2"/>
  <c r="M226" i="2"/>
  <c r="N318" i="2"/>
  <c r="N301" i="2"/>
  <c r="M318" i="2"/>
  <c r="M301" i="2"/>
  <c r="M349" i="2"/>
  <c r="N225" i="2"/>
  <c r="N349" i="2"/>
  <c r="M225" i="2"/>
  <c r="N220" i="2"/>
  <c r="M220" i="2"/>
  <c r="N277" i="2"/>
  <c r="N221" i="2"/>
  <c r="M221" i="2"/>
  <c r="M277" i="2"/>
  <c r="N222" i="2"/>
  <c r="N117" i="2"/>
  <c r="N223" i="2"/>
  <c r="M222" i="2"/>
  <c r="M117" i="2"/>
  <c r="M223" i="2"/>
  <c r="N320" i="2"/>
  <c r="N303" i="2"/>
  <c r="N317" i="2"/>
  <c r="N300" i="2"/>
  <c r="M303" i="2"/>
  <c r="M320" i="2"/>
  <c r="M317" i="2"/>
  <c r="M300" i="2"/>
  <c r="N164" i="2"/>
  <c r="M164" i="2"/>
  <c r="N290" i="2"/>
  <c r="N61" i="2"/>
  <c r="M290" i="2"/>
  <c r="M61" i="2"/>
  <c r="N289" i="2"/>
  <c r="N218" i="2"/>
  <c r="N217" i="2"/>
  <c r="M289" i="2"/>
  <c r="M218" i="2"/>
  <c r="M217" i="2"/>
  <c r="N219" i="2"/>
  <c r="M219" i="2"/>
  <c r="N123" i="2"/>
  <c r="N169" i="2"/>
  <c r="M123" i="2"/>
  <c r="M169" i="2"/>
  <c r="N216" i="2"/>
  <c r="N214" i="2"/>
  <c r="M216" i="2"/>
  <c r="M214" i="2"/>
  <c r="N287" i="2"/>
  <c r="N286" i="2"/>
  <c r="M287" i="2"/>
  <c r="M286" i="2"/>
  <c r="N339" i="2"/>
  <c r="M339" i="2"/>
  <c r="N215" i="2"/>
  <c r="N285" i="2"/>
  <c r="M215" i="2"/>
  <c r="M285" i="2"/>
  <c r="N213" i="2"/>
  <c r="M213" i="2"/>
  <c r="N284" i="2"/>
  <c r="M284" i="2"/>
  <c r="N283" i="2"/>
  <c r="M283" i="2"/>
  <c r="N282" i="2"/>
  <c r="M282" i="2"/>
  <c r="N119" i="2"/>
  <c r="N212" i="2"/>
  <c r="M212" i="2"/>
  <c r="M119" i="2"/>
  <c r="N280" i="2"/>
  <c r="N75" i="2"/>
  <c r="M280" i="2"/>
  <c r="M75" i="2"/>
  <c r="N332" i="2"/>
  <c r="N200" i="2"/>
  <c r="N269" i="2"/>
  <c r="N195" i="2"/>
  <c r="N183" i="2"/>
  <c r="M332" i="2"/>
  <c r="M183" i="2"/>
  <c r="M200" i="2"/>
  <c r="M269" i="2"/>
  <c r="M195" i="2"/>
  <c r="N281" i="2"/>
  <c r="M281" i="2"/>
  <c r="N211" i="2"/>
  <c r="N210" i="2"/>
  <c r="M211" i="2"/>
  <c r="M210" i="2"/>
  <c r="N362" i="2"/>
  <c r="N363" i="2"/>
  <c r="N122" i="2"/>
  <c r="N357" i="2"/>
  <c r="N416" i="2"/>
  <c r="M362" i="2"/>
  <c r="M363" i="2"/>
  <c r="M122" i="2"/>
  <c r="M357" i="2"/>
  <c r="M416" i="2"/>
  <c r="N279" i="2"/>
  <c r="M208" i="2"/>
  <c r="M279" i="2"/>
  <c r="N278" i="2"/>
  <c r="N208" i="2"/>
  <c r="M275" i="2"/>
  <c r="M278" i="2"/>
  <c r="N275" i="2"/>
  <c r="M206" i="2"/>
  <c r="N206" i="2"/>
  <c r="M276" i="2"/>
  <c r="N276" i="2"/>
  <c r="M207" i="2"/>
  <c r="N207" i="2"/>
  <c r="M274" i="2"/>
  <c r="N274" i="2"/>
  <c r="N192" i="2"/>
  <c r="N54" i="2"/>
  <c r="N125" i="2"/>
  <c r="N386" i="2"/>
  <c r="N394" i="2"/>
  <c r="N376" i="2"/>
  <c r="N127" i="2"/>
  <c r="N45" i="2"/>
  <c r="N189" i="2"/>
  <c r="N358" i="2"/>
  <c r="N160" i="2"/>
  <c r="N205" i="2"/>
  <c r="N112" i="2"/>
  <c r="N89" i="2"/>
  <c r="N387" i="2"/>
  <c r="M189" i="2"/>
  <c r="M358" i="2"/>
  <c r="M160" i="2"/>
  <c r="M205" i="2"/>
  <c r="M386" i="2"/>
  <c r="M387" i="2"/>
  <c r="M192" i="2"/>
  <c r="M54" i="2"/>
  <c r="M125" i="2"/>
  <c r="M394" i="2"/>
  <c r="M112" i="2"/>
  <c r="M89" i="2"/>
  <c r="M376" i="2"/>
  <c r="M127" i="2"/>
  <c r="M45" i="2"/>
  <c r="N204" i="2"/>
  <c r="M204" i="2"/>
  <c r="N377" i="2"/>
  <c r="M377" i="2"/>
  <c r="N271" i="2"/>
  <c r="N203" i="2"/>
  <c r="M203" i="2"/>
  <c r="M271" i="2"/>
  <c r="N272" i="2"/>
  <c r="N202" i="2"/>
  <c r="M272" i="2"/>
  <c r="M202" i="2"/>
  <c r="N273" i="2"/>
  <c r="M273" i="2"/>
  <c r="N13" i="2"/>
  <c r="M13" i="2"/>
  <c r="N196" i="2"/>
  <c r="M196" i="2"/>
  <c r="N201" i="2"/>
  <c r="M201" i="2"/>
  <c r="M99" i="2"/>
  <c r="N198" i="2"/>
  <c r="N99" i="2"/>
  <c r="M198" i="2"/>
  <c r="N270" i="2"/>
  <c r="M270" i="2"/>
  <c r="N268" i="2"/>
  <c r="N121" i="2"/>
  <c r="N62" i="2"/>
  <c r="N110" i="2"/>
  <c r="M62" i="2"/>
  <c r="M121" i="2"/>
  <c r="M110" i="2"/>
  <c r="M268" i="2"/>
  <c r="N197" i="2"/>
  <c r="N264" i="2"/>
  <c r="M197" i="2"/>
  <c r="M264" i="2"/>
  <c r="N27" i="2"/>
  <c r="N267" i="2"/>
  <c r="M27" i="2"/>
  <c r="M267" i="2"/>
  <c r="N85" i="2"/>
  <c r="M85" i="2"/>
  <c r="N265" i="2"/>
  <c r="M265" i="2"/>
  <c r="N11" i="2"/>
  <c r="N10" i="2"/>
  <c r="N181" i="2"/>
  <c r="M11" i="2"/>
  <c r="M10" i="2"/>
  <c r="N406" i="2"/>
  <c r="N90" i="2"/>
  <c r="M90" i="2"/>
  <c r="M406" i="2"/>
  <c r="N182" i="2"/>
  <c r="N194" i="2"/>
  <c r="M182" i="2"/>
  <c r="M194" i="2"/>
  <c r="N12" i="2"/>
  <c r="N399" i="2"/>
  <c r="N373" i="2"/>
  <c r="N364" i="2"/>
  <c r="N347" i="2"/>
  <c r="N337" i="2"/>
  <c r="N173" i="2"/>
  <c r="N172" i="2"/>
  <c r="N166" i="2"/>
  <c r="N157" i="2"/>
  <c r="N141" i="2"/>
  <c r="N135" i="2"/>
  <c r="N86" i="2"/>
  <c r="N78" i="2"/>
  <c r="N71" i="2"/>
  <c r="N59" i="2"/>
  <c r="N44" i="2"/>
  <c r="N32" i="2"/>
  <c r="N413" i="2"/>
  <c r="N409" i="2"/>
  <c r="N401" i="2"/>
  <c r="N392" i="2"/>
  <c r="N385" i="2"/>
  <c r="N380" i="2"/>
  <c r="N371" i="2"/>
  <c r="N367" i="2"/>
  <c r="N359" i="2"/>
  <c r="N354" i="2"/>
  <c r="N343" i="2"/>
  <c r="N179" i="2"/>
  <c r="N176" i="2"/>
  <c r="N168" i="2"/>
  <c r="N156" i="2"/>
  <c r="N150" i="2"/>
  <c r="N146" i="2"/>
  <c r="N139" i="2"/>
  <c r="N129" i="2"/>
  <c r="N111" i="2"/>
  <c r="N105" i="2"/>
  <c r="N101" i="2"/>
  <c r="N92" i="2"/>
  <c r="N87" i="2"/>
  <c r="N79" i="2"/>
  <c r="N68" i="2"/>
  <c r="N60" i="2"/>
  <c r="N51" i="2"/>
  <c r="N47" i="2"/>
  <c r="N28" i="2"/>
  <c r="N20" i="2"/>
  <c r="N17" i="2"/>
  <c r="N14" i="2"/>
  <c r="N53" i="2"/>
  <c r="N396" i="2"/>
  <c r="N374" i="2"/>
  <c r="N350" i="2"/>
  <c r="N342" i="2"/>
  <c r="N174" i="2"/>
  <c r="N159" i="2"/>
  <c r="N142" i="2"/>
  <c r="N136" i="2"/>
  <c r="N108" i="2"/>
  <c r="N96" i="2"/>
  <c r="N91" i="2"/>
  <c r="N72" i="2"/>
  <c r="N69" i="2"/>
  <c r="N58" i="2"/>
  <c r="N33" i="2"/>
  <c r="N29" i="2"/>
  <c r="N414" i="2"/>
  <c r="N410" i="2"/>
  <c r="N405" i="2"/>
  <c r="N402" i="2"/>
  <c r="N388" i="2"/>
  <c r="N381" i="2"/>
  <c r="N375" i="2"/>
  <c r="N372" i="2"/>
  <c r="N369" i="2"/>
  <c r="N360" i="2"/>
  <c r="N345" i="2"/>
  <c r="N338" i="2"/>
  <c r="N177" i="2"/>
  <c r="N170" i="2"/>
  <c r="N158" i="2"/>
  <c r="N151" i="2"/>
  <c r="N147" i="2"/>
  <c r="N143" i="2"/>
  <c r="N133" i="2"/>
  <c r="N130" i="2"/>
  <c r="N116" i="2"/>
  <c r="N102" i="2"/>
  <c r="N88" i="2"/>
  <c r="N80" i="2"/>
  <c r="N52" i="2"/>
  <c r="N48" i="2"/>
  <c r="N38" i="2"/>
  <c r="N34" i="2"/>
  <c r="N24" i="2"/>
  <c r="N21" i="2"/>
  <c r="N15" i="2"/>
  <c r="N97" i="2"/>
  <c r="M67" i="2"/>
  <c r="N400" i="2"/>
  <c r="N397" i="2"/>
  <c r="N390" i="2"/>
  <c r="N366" i="2"/>
  <c r="N351" i="2"/>
  <c r="N344" i="2"/>
  <c r="N333" i="2"/>
  <c r="N144" i="2"/>
  <c r="N106" i="2"/>
  <c r="N98" i="2"/>
  <c r="N93" i="2"/>
  <c r="N84" i="2"/>
  <c r="N74" i="2"/>
  <c r="N63" i="2"/>
  <c r="N56" i="2"/>
  <c r="N37" i="2"/>
  <c r="N30" i="2"/>
  <c r="N411" i="2"/>
  <c r="N407" i="2"/>
  <c r="N403" i="2"/>
  <c r="N389" i="2"/>
  <c r="N384" i="2"/>
  <c r="N378" i="2"/>
  <c r="N361" i="2"/>
  <c r="N356" i="2"/>
  <c r="N348" i="2"/>
  <c r="N340" i="2"/>
  <c r="N178" i="2"/>
  <c r="N161" i="2"/>
  <c r="N153" i="2"/>
  <c r="N148" i="2"/>
  <c r="N145" i="2"/>
  <c r="N134" i="2"/>
  <c r="N131" i="2"/>
  <c r="N120" i="2"/>
  <c r="N109" i="2"/>
  <c r="N103" i="2"/>
  <c r="N95" i="2"/>
  <c r="N81" i="2"/>
  <c r="N73" i="2"/>
  <c r="N66" i="2"/>
  <c r="N55" i="2"/>
  <c r="N49" i="2"/>
  <c r="N39" i="2"/>
  <c r="N35" i="2"/>
  <c r="N25" i="2"/>
  <c r="N22" i="2"/>
  <c r="N18" i="2"/>
  <c r="N137" i="2"/>
  <c r="N180" i="2"/>
  <c r="N398" i="2"/>
  <c r="N395" i="2"/>
  <c r="N382" i="2"/>
  <c r="N368" i="2"/>
  <c r="N346" i="2"/>
  <c r="N334" i="2"/>
  <c r="N165" i="2"/>
  <c r="N155" i="2"/>
  <c r="N140" i="2"/>
  <c r="N124" i="2"/>
  <c r="N107" i="2"/>
  <c r="N100" i="2"/>
  <c r="N94" i="2"/>
  <c r="N77" i="2"/>
  <c r="N70" i="2"/>
  <c r="N64" i="2"/>
  <c r="N41" i="2"/>
  <c r="N31" i="2"/>
  <c r="N415" i="2"/>
  <c r="N412" i="2"/>
  <c r="N408" i="2"/>
  <c r="N404" i="2"/>
  <c r="N393" i="2"/>
  <c r="N391" i="2"/>
  <c r="N379" i="2"/>
  <c r="N370" i="2"/>
  <c r="N365" i="2"/>
  <c r="N353" i="2"/>
  <c r="N341" i="2"/>
  <c r="N336" i="2"/>
  <c r="N175" i="2"/>
  <c r="N171" i="2"/>
  <c r="N162" i="2"/>
  <c r="N154" i="2"/>
  <c r="N149" i="2"/>
  <c r="N138" i="2"/>
  <c r="N132" i="2"/>
  <c r="N128" i="2"/>
  <c r="N104" i="2"/>
  <c r="N83" i="2"/>
  <c r="N76" i="2"/>
  <c r="N67" i="2"/>
  <c r="N57" i="2"/>
  <c r="N50" i="2"/>
  <c r="N43" i="2"/>
  <c r="N36" i="2"/>
  <c r="N26" i="2"/>
  <c r="N23" i="2"/>
  <c r="N19" i="2"/>
  <c r="N16" i="2"/>
  <c r="M373" i="2"/>
  <c r="M347" i="2"/>
  <c r="M173" i="2"/>
  <c r="M166" i="2"/>
  <c r="M141" i="2"/>
  <c r="M78" i="2"/>
  <c r="M32" i="2"/>
  <c r="M400" i="2"/>
  <c r="M366" i="2"/>
  <c r="M344" i="2"/>
  <c r="M106" i="2"/>
  <c r="M93" i="2"/>
  <c r="M74" i="2"/>
  <c r="M63" i="2"/>
  <c r="M56" i="2"/>
  <c r="M390" i="2"/>
  <c r="M399" i="2"/>
  <c r="M364" i="2"/>
  <c r="M337" i="2"/>
  <c r="M172" i="2"/>
  <c r="M157" i="2"/>
  <c r="M135" i="2"/>
  <c r="M86" i="2"/>
  <c r="M71" i="2"/>
  <c r="M59" i="2"/>
  <c r="M44" i="2"/>
  <c r="M181" i="2"/>
  <c r="M397" i="2"/>
  <c r="M351" i="2"/>
  <c r="M333" i="2"/>
  <c r="M144" i="2"/>
  <c r="M98" i="2"/>
  <c r="M84" i="2"/>
  <c r="M37" i="2"/>
  <c r="M30" i="2"/>
  <c r="M411" i="2"/>
  <c r="M407" i="2"/>
  <c r="M403" i="2"/>
  <c r="M385" i="2"/>
  <c r="M384" i="2"/>
  <c r="M380" i="2"/>
  <c r="M378" i="2"/>
  <c r="M371" i="2"/>
  <c r="M367" i="2"/>
  <c r="M361" i="2"/>
  <c r="M359" i="2"/>
  <c r="M356" i="2"/>
  <c r="M354" i="2"/>
  <c r="M348" i="2"/>
  <c r="M343" i="2"/>
  <c r="M340" i="2"/>
  <c r="M179" i="2"/>
  <c r="M178" i="2"/>
  <c r="M176" i="2"/>
  <c r="M168" i="2"/>
  <c r="M161" i="2"/>
  <c r="M156" i="2"/>
  <c r="M153" i="2"/>
  <c r="M150" i="2"/>
  <c r="M148" i="2"/>
  <c r="M146" i="2"/>
  <c r="M145" i="2"/>
  <c r="M139" i="2"/>
  <c r="M134" i="2"/>
  <c r="M131" i="2"/>
  <c r="M129" i="2"/>
  <c r="M120" i="2"/>
  <c r="M111" i="2"/>
  <c r="M109" i="2"/>
  <c r="M105" i="2"/>
  <c r="M103" i="2"/>
  <c r="M101" i="2"/>
  <c r="M95" i="2"/>
  <c r="M92" i="2"/>
  <c r="M87" i="2"/>
  <c r="M81" i="2"/>
  <c r="M79" i="2"/>
  <c r="M73" i="2"/>
  <c r="M68" i="2"/>
  <c r="M66" i="2"/>
  <c r="M60" i="2"/>
  <c r="M55" i="2"/>
  <c r="M51" i="2"/>
  <c r="M49" i="2"/>
  <c r="M47" i="2"/>
  <c r="M39" i="2"/>
  <c r="M35" i="2"/>
  <c r="M28" i="2"/>
  <c r="M25" i="2"/>
  <c r="M22" i="2"/>
  <c r="M20" i="2"/>
  <c r="M18" i="2"/>
  <c r="M17" i="2"/>
  <c r="M14" i="2"/>
  <c r="M137" i="2"/>
  <c r="M53" i="2"/>
  <c r="M413" i="2"/>
  <c r="M409" i="2"/>
  <c r="M401" i="2"/>
  <c r="M392" i="2"/>
  <c r="M389" i="2"/>
  <c r="M398" i="2"/>
  <c r="M395" i="2"/>
  <c r="M382" i="2"/>
  <c r="M368" i="2"/>
  <c r="M346" i="2"/>
  <c r="M334" i="2"/>
  <c r="M165" i="2"/>
  <c r="M155" i="2"/>
  <c r="M140" i="2"/>
  <c r="M124" i="2"/>
  <c r="M107" i="2"/>
  <c r="M100" i="2"/>
  <c r="M94" i="2"/>
  <c r="M77" i="2"/>
  <c r="M70" i="2"/>
  <c r="M64" i="2"/>
  <c r="M41" i="2"/>
  <c r="M31" i="2"/>
  <c r="M415" i="2"/>
  <c r="M412" i="2"/>
  <c r="M408" i="2"/>
  <c r="M404" i="2"/>
  <c r="M393" i="2"/>
  <c r="M391" i="2"/>
  <c r="M379" i="2"/>
  <c r="M370" i="2"/>
  <c r="M365" i="2"/>
  <c r="M353" i="2"/>
  <c r="M341" i="2"/>
  <c r="M336" i="2"/>
  <c r="M175" i="2"/>
  <c r="M171" i="2"/>
  <c r="M162" i="2"/>
  <c r="M154" i="2"/>
  <c r="M149" i="2"/>
  <c r="M138" i="2"/>
  <c r="M132" i="2"/>
  <c r="M128" i="2"/>
  <c r="M104" i="2"/>
  <c r="M83" i="2"/>
  <c r="M76" i="2"/>
  <c r="M57" i="2"/>
  <c r="M52" i="2"/>
  <c r="M50" i="2"/>
  <c r="M48" i="2"/>
  <c r="M43" i="2"/>
  <c r="M38" i="2"/>
  <c r="M36" i="2"/>
  <c r="M34" i="2"/>
  <c r="M26" i="2"/>
  <c r="M24" i="2"/>
  <c r="M23" i="2"/>
  <c r="M21" i="2"/>
  <c r="M19" i="2"/>
  <c r="M16" i="2"/>
  <c r="M15" i="2"/>
  <c r="M12" i="2"/>
  <c r="M97" i="2"/>
  <c r="M180" i="2"/>
  <c r="M396" i="2"/>
  <c r="M374" i="2"/>
  <c r="M350" i="2"/>
  <c r="M342" i="2"/>
  <c r="M174" i="2"/>
  <c r="M159" i="2"/>
  <c r="M142" i="2"/>
  <c r="M136" i="2"/>
  <c r="M108" i="2"/>
  <c r="M96" i="2"/>
  <c r="M91" i="2"/>
  <c r="M72" i="2"/>
  <c r="M69" i="2"/>
  <c r="M58" i="2"/>
  <c r="M33" i="2"/>
  <c r="M29" i="2"/>
  <c r="M414" i="2"/>
  <c r="M410" i="2"/>
  <c r="M405" i="2"/>
  <c r="M402" i="2"/>
  <c r="M388" i="2"/>
  <c r="M381" i="2"/>
  <c r="M375" i="2"/>
  <c r="M372" i="2"/>
  <c r="M369" i="2"/>
  <c r="M360" i="2"/>
  <c r="M345" i="2"/>
  <c r="M338" i="2"/>
  <c r="M177" i="2"/>
  <c r="M170" i="2"/>
  <c r="M158" i="2"/>
  <c r="M151" i="2"/>
  <c r="M147" i="2"/>
  <c r="M143" i="2"/>
  <c r="M133" i="2"/>
  <c r="M130" i="2"/>
  <c r="M116" i="2"/>
  <c r="M102" i="2"/>
  <c r="M88" i="2"/>
  <c r="M80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E4" i="2"/>
  <c r="D1" i="3" s="1"/>
  <c r="Q9" i="2" l="1"/>
  <c r="P9" i="2"/>
  <c r="O9" i="2"/>
</calcChain>
</file>

<file path=xl/sharedStrings.xml><?xml version="1.0" encoding="utf-8"?>
<sst xmlns="http://schemas.openxmlformats.org/spreadsheetml/2006/main" count="13516" uniqueCount="3889">
  <si>
    <t>Emp #</t>
  </si>
  <si>
    <t>Emp Name</t>
  </si>
  <si>
    <t>Email Address</t>
  </si>
  <si>
    <t>Terr Cd</t>
  </si>
  <si>
    <t>Branch Cd</t>
  </si>
  <si>
    <t>Type Cd</t>
  </si>
  <si>
    <t>Comment</t>
  </si>
  <si>
    <t>Date Change</t>
  </si>
  <si>
    <t>Last Updated</t>
  </si>
  <si>
    <t>Employee Email Master List</t>
  </si>
  <si>
    <t>Type Cd: F = FSC, T = EST, E = ESS, B = Branch</t>
  </si>
  <si>
    <t>blank</t>
  </si>
  <si>
    <t>email name</t>
  </si>
  <si>
    <t>msg</t>
  </si>
  <si>
    <t>attach 1</t>
  </si>
  <si>
    <t>attach 2</t>
  </si>
  <si>
    <t>Config File Name:</t>
  </si>
  <si>
    <t>Emp Status</t>
  </si>
  <si>
    <t>Action</t>
  </si>
  <si>
    <t>Weekly FSC</t>
  </si>
  <si>
    <t>FSC Comm</t>
  </si>
  <si>
    <t>EST Comm</t>
  </si>
  <si>
    <t>Message</t>
  </si>
  <si>
    <t>Config File Name</t>
  </si>
  <si>
    <t>LOA Email To</t>
  </si>
  <si>
    <t>Gary.Winslow@Henryschein.ca</t>
  </si>
  <si>
    <t>Wendy.Mccabe@Henryschein.ca</t>
  </si>
  <si>
    <t>Email Override</t>
  </si>
  <si>
    <t>TERROL ROGERS</t>
  </si>
  <si>
    <t>CLAUDE KLASSEN</t>
  </si>
  <si>
    <t>KELVIN DAY 2</t>
  </si>
  <si>
    <t>SARAH SCHROETER</t>
  </si>
  <si>
    <t>VERONIQUE CUSSON</t>
  </si>
  <si>
    <t>RALPH BOYD</t>
  </si>
  <si>
    <t>MICHAEL KING 2</t>
  </si>
  <si>
    <t>WZ124</t>
  </si>
  <si>
    <t>CZ125</t>
  </si>
  <si>
    <t>CZ124</t>
  </si>
  <si>
    <t>CZ121</t>
  </si>
  <si>
    <t>QZ135</t>
  </si>
  <si>
    <t>QZ132</t>
  </si>
  <si>
    <t>CZ128</t>
  </si>
  <si>
    <t>CZ145</t>
  </si>
  <si>
    <t>CZ144</t>
  </si>
  <si>
    <t>CZ147</t>
  </si>
  <si>
    <t>CZ165</t>
  </si>
  <si>
    <t>QZ177</t>
  </si>
  <si>
    <t>QZ178</t>
  </si>
  <si>
    <t>CZ183</t>
  </si>
  <si>
    <t>CZ107</t>
  </si>
  <si>
    <t>QZ190</t>
  </si>
  <si>
    <t>QZ192</t>
  </si>
  <si>
    <t>CZ109</t>
  </si>
  <si>
    <t>AZ112</t>
  </si>
  <si>
    <t>CZ154</t>
  </si>
  <si>
    <t>QZ1CG</t>
  </si>
  <si>
    <t>CZ1KD</t>
  </si>
  <si>
    <t>CZ2KD</t>
  </si>
  <si>
    <t>QZ1CF</t>
  </si>
  <si>
    <t>CZ1EM</t>
  </si>
  <si>
    <t>CZ1CR</t>
  </si>
  <si>
    <t>QZ1DP</t>
  </si>
  <si>
    <t>CZ1DA</t>
  </si>
  <si>
    <t>QZ1LM</t>
  </si>
  <si>
    <t>CZ1EE</t>
  </si>
  <si>
    <t>AZ1EK</t>
  </si>
  <si>
    <t>AZ1FB</t>
  </si>
  <si>
    <t>CZ1FP</t>
  </si>
  <si>
    <t>QZ1FT</t>
  </si>
  <si>
    <t>QZ1FS</t>
  </si>
  <si>
    <t>QZ1FR</t>
  </si>
  <si>
    <t>QZ1GO</t>
  </si>
  <si>
    <t>AZ1KL</t>
  </si>
  <si>
    <t>QZ1KK</t>
  </si>
  <si>
    <t>CZ1DN</t>
  </si>
  <si>
    <t>QZ1EO</t>
  </si>
  <si>
    <t>CZ1CB</t>
  </si>
  <si>
    <t>CZ2MC</t>
  </si>
  <si>
    <t>CZ1B8</t>
  </si>
  <si>
    <t>CZ1C4</t>
  </si>
  <si>
    <t>QZ1D8</t>
  </si>
  <si>
    <t>CZ1SW</t>
  </si>
  <si>
    <t>QZ1AP</t>
  </si>
  <si>
    <t>CZ2CB</t>
  </si>
  <si>
    <t>CZ1CG</t>
  </si>
  <si>
    <t>AZ1PV</t>
  </si>
  <si>
    <t>CZ1I7</t>
  </si>
  <si>
    <t>CZ3RJ</t>
  </si>
  <si>
    <t>CZ5CS</t>
  </si>
  <si>
    <t>CZ3DD</t>
  </si>
  <si>
    <t>CZ3SS</t>
  </si>
  <si>
    <t>CZ8JA</t>
  </si>
  <si>
    <t>QZ7JM</t>
  </si>
  <si>
    <t>QZ7HJ</t>
  </si>
  <si>
    <t>QZ7DO</t>
  </si>
  <si>
    <t>CZ5TA</t>
  </si>
  <si>
    <t>CZ2LB</t>
  </si>
  <si>
    <t>CZ2GB</t>
  </si>
  <si>
    <t>CZ2LH</t>
  </si>
  <si>
    <t>CZ2CW</t>
  </si>
  <si>
    <t>CZ2NM</t>
  </si>
  <si>
    <t>AZ2MC</t>
  </si>
  <si>
    <t>QZ2SB</t>
  </si>
  <si>
    <t>QZ2VC</t>
  </si>
  <si>
    <t>CZ2BG</t>
  </si>
  <si>
    <t>QZ2EP</t>
  </si>
  <si>
    <t>CZ2PO</t>
  </si>
  <si>
    <t>QZ2MS</t>
  </si>
  <si>
    <t>WZ8JP</t>
  </si>
  <si>
    <t>WZ115</t>
  </si>
  <si>
    <t>WZ120</t>
  </si>
  <si>
    <t>WZ118</t>
  </si>
  <si>
    <t>WZ119</t>
  </si>
  <si>
    <t>WZ138</t>
  </si>
  <si>
    <t>WZ142</t>
  </si>
  <si>
    <t>WZ131</t>
  </si>
  <si>
    <t>WZ134</t>
  </si>
  <si>
    <t>WZ123</t>
  </si>
  <si>
    <t>WZ136</t>
  </si>
  <si>
    <t>WZ165</t>
  </si>
  <si>
    <t>WZ168</t>
  </si>
  <si>
    <t>WZ1FF</t>
  </si>
  <si>
    <t>WZ167</t>
  </si>
  <si>
    <t>WZ175</t>
  </si>
  <si>
    <t>WZ177</t>
  </si>
  <si>
    <t>WZ2BK</t>
  </si>
  <si>
    <t>WZ143</t>
  </si>
  <si>
    <t>WZ159</t>
  </si>
  <si>
    <t>WZ162</t>
  </si>
  <si>
    <t>WZ125</t>
  </si>
  <si>
    <t>WZ113</t>
  </si>
  <si>
    <t>WZ133</t>
  </si>
  <si>
    <t>WZ137</t>
  </si>
  <si>
    <t>WZ1G4</t>
  </si>
  <si>
    <t>WZBW1</t>
  </si>
  <si>
    <t>VZMP1</t>
  </si>
  <si>
    <t>WZ9TS</t>
  </si>
  <si>
    <t>WZ8TM</t>
  </si>
  <si>
    <t>WZ2NV</t>
  </si>
  <si>
    <t>WZ1FB</t>
  </si>
  <si>
    <t>WZ1HM</t>
  </si>
  <si>
    <t>WZ2HM</t>
  </si>
  <si>
    <t>F</t>
  </si>
  <si>
    <t>Not FSC CC</t>
  </si>
  <si>
    <t>Changed from Wright</t>
  </si>
  <si>
    <t>LOA</t>
  </si>
  <si>
    <t>Sales start May 2010</t>
  </si>
  <si>
    <t>New FSC</t>
  </si>
  <si>
    <t>WZ2RP</t>
  </si>
  <si>
    <t>WZ2BH</t>
  </si>
  <si>
    <t>AZ1WP</t>
  </si>
  <si>
    <t>AZ1YU</t>
  </si>
  <si>
    <t>AZ1WX</t>
  </si>
  <si>
    <t>AZ1XF</t>
  </si>
  <si>
    <t>AZ1XT</t>
  </si>
  <si>
    <t>AZ1YP</t>
  </si>
  <si>
    <t>QZ1XH</t>
  </si>
  <si>
    <t>QZ1TB</t>
  </si>
  <si>
    <t>QZ1TD</t>
  </si>
  <si>
    <t>QZ1TA</t>
  </si>
  <si>
    <t>QZ1TK</t>
  </si>
  <si>
    <t>QZ1TF</t>
  </si>
  <si>
    <t>QZ1YE</t>
  </si>
  <si>
    <t>QZ1TE</t>
  </si>
  <si>
    <t>QZ1TI</t>
  </si>
  <si>
    <t>CZ1YI</t>
  </si>
  <si>
    <t>CZ1YW</t>
  </si>
  <si>
    <t>CZ1UE</t>
  </si>
  <si>
    <t>CZ1MW</t>
  </si>
  <si>
    <t>CZ1MJ</t>
  </si>
  <si>
    <t>CZ1VG</t>
  </si>
  <si>
    <t>CZ1VJ</t>
  </si>
  <si>
    <t>CZ1XX</t>
  </si>
  <si>
    <t>CZ1MG</t>
  </si>
  <si>
    <t>CZ1YC</t>
  </si>
  <si>
    <t>CZ1MI</t>
  </si>
  <si>
    <t>CZ1XD</t>
  </si>
  <si>
    <t>CZ1XB</t>
  </si>
  <si>
    <t>CZ1WT</t>
  </si>
  <si>
    <t>CZ1XA</t>
  </si>
  <si>
    <t>WZ147</t>
  </si>
  <si>
    <t>WZ148</t>
  </si>
  <si>
    <t>WZ8GM</t>
  </si>
  <si>
    <t>WZ1BH</t>
  </si>
  <si>
    <t>WZ3BH</t>
  </si>
  <si>
    <t>WZ1BE</t>
  </si>
  <si>
    <t>WZ1B1</t>
  </si>
  <si>
    <t>WZ114</t>
  </si>
  <si>
    <t>WZ174</t>
  </si>
  <si>
    <t>WZ1A6</t>
  </si>
  <si>
    <t>WZ140</t>
  </si>
  <si>
    <t>WZ1BA</t>
  </si>
  <si>
    <t>WZ139</t>
  </si>
  <si>
    <t>CZ1VL</t>
  </si>
  <si>
    <t>CZ1VK</t>
  </si>
  <si>
    <t>CZ1LR</t>
  </si>
  <si>
    <t>CZ1UV</t>
  </si>
  <si>
    <t>CZ1VE</t>
  </si>
  <si>
    <t>CZ1WV</t>
  </si>
  <si>
    <t>CZ1UO</t>
  </si>
  <si>
    <t>CZ1XC</t>
  </si>
  <si>
    <t>CZ2XC</t>
  </si>
  <si>
    <t>CZ1YN</t>
  </si>
  <si>
    <t>CZ1UI</t>
  </si>
  <si>
    <t>CZ1UU</t>
  </si>
  <si>
    <t>CZ1UW</t>
  </si>
  <si>
    <t>CZ1VC</t>
  </si>
  <si>
    <t>CZ1UX</t>
  </si>
  <si>
    <t>CZ1UY</t>
  </si>
  <si>
    <t>CZ1UZ</t>
  </si>
  <si>
    <t>CZ1XW</t>
  </si>
  <si>
    <t>Add</t>
  </si>
  <si>
    <t>Change</t>
  </si>
  <si>
    <t>A</t>
  </si>
  <si>
    <t>VACVR</t>
  </si>
  <si>
    <t>TORNT</t>
  </si>
  <si>
    <t>WINPG</t>
  </si>
  <si>
    <t>MNTRL</t>
  </si>
  <si>
    <t>LONDN</t>
  </si>
  <si>
    <t>QUEBC</t>
  </si>
  <si>
    <t>HALFX</t>
  </si>
  <si>
    <t>OTTWA</t>
  </si>
  <si>
    <t>MEDIC</t>
  </si>
  <si>
    <t>CALGY</t>
  </si>
  <si>
    <t>REGIN</t>
  </si>
  <si>
    <t>EDMON</t>
  </si>
  <si>
    <t>VICTR</t>
  </si>
  <si>
    <t>SJOHN</t>
  </si>
  <si>
    <t>X</t>
  </si>
  <si>
    <t>Attachment 1 Name:</t>
  </si>
  <si>
    <t>Attachment 2 Name:</t>
  </si>
  <si>
    <t>Attch 1 Name</t>
  </si>
  <si>
    <t>Attch 2 Name</t>
  </si>
  <si>
    <t>Weekly Sales</t>
  </si>
  <si>
    <t>Attch 1 Ext</t>
  </si>
  <si>
    <t>.pdf</t>
  </si>
  <si>
    <t>Attachment 1 Extn:</t>
  </si>
  <si>
    <t>Attch 2 Ext</t>
  </si>
  <si>
    <t>Msg for Subject (Col C)</t>
  </si>
  <si>
    <t>Attachment 2 Extn:</t>
  </si>
  <si>
    <t>CommissionSummary</t>
  </si>
  <si>
    <t>CommissionDetail</t>
  </si>
  <si>
    <t>WZ2KF</t>
  </si>
  <si>
    <t>RICHARD VILLENEUVE</t>
  </si>
  <si>
    <t>T</t>
  </si>
  <si>
    <t>Albert.Damjanschitz@henryschein.ca</t>
  </si>
  <si>
    <t>Andre.Fillion@henryschein.ca</t>
  </si>
  <si>
    <t>Andrew.Jackson@henryschein.ca</t>
  </si>
  <si>
    <t>Archie.Nicholson@henryschein.ca</t>
  </si>
  <si>
    <t>Arvin.Yanes@henryschein.ca</t>
  </si>
  <si>
    <t>Bela.Csiki@henryschein.ca</t>
  </si>
  <si>
    <t>Bernard.Harvey@henryschein.ca</t>
  </si>
  <si>
    <t>Bradley.Robinson@henryschein.ca</t>
  </si>
  <si>
    <t>Brian.Cummings@henryschein.ca</t>
  </si>
  <si>
    <t>C.David.Pollard@henryschein.ca</t>
  </si>
  <si>
    <t>Chad.Pelletier@henryschein.ca</t>
  </si>
  <si>
    <t>Dale.Richer@henryschein.ca</t>
  </si>
  <si>
    <t>Dan.Boyko@henryschein.ca</t>
  </si>
  <si>
    <t>Dan.Chaohan@henryschein.ca</t>
  </si>
  <si>
    <t>Daniel.Gauvin@henryschein.ca</t>
  </si>
  <si>
    <t>Darek.Zemetro@henryschein.ca</t>
  </si>
  <si>
    <t>Dave.Brown@henryschein.ca</t>
  </si>
  <si>
    <t>Dave.Langton@henryschein.ca</t>
  </si>
  <si>
    <t>Dave.Lucas@henryschein.ca</t>
  </si>
  <si>
    <t>Dave.Williams@henryschein.ca</t>
  </si>
  <si>
    <t>David.Dabideen@henryschein.ca</t>
  </si>
  <si>
    <t>David.Doucette@henryschein.ca</t>
  </si>
  <si>
    <t>David.Johannsen@henryschein.ca</t>
  </si>
  <si>
    <t>David.Macgillivray@henryschein.ca</t>
  </si>
  <si>
    <t>Dexter.Baboolal@henryschein.ca</t>
  </si>
  <si>
    <t>Doug.Harvey@henryschein.ca</t>
  </si>
  <si>
    <t>Douglas.Hirst@henryschein.ca</t>
  </si>
  <si>
    <t>Ed.Corneileus@henryschein.ca</t>
  </si>
  <si>
    <t>Eddie.Nguyen@henryschein.ca</t>
  </si>
  <si>
    <t>Eduardo.Morales@henryschein.ca</t>
  </si>
  <si>
    <t>Emil.Filev@henryschein.ca</t>
  </si>
  <si>
    <t>Eric.Trepanier@henryschein.ca</t>
  </si>
  <si>
    <t>Gerrit.Vandenberg@henryschein.ca</t>
  </si>
  <si>
    <t>Ghislain.Beauvais@henryschein.ca</t>
  </si>
  <si>
    <t>Greg.Budgell@henryschein.ca</t>
  </si>
  <si>
    <t>Hugh.Yardley@henryschein.ca</t>
  </si>
  <si>
    <t>Ian.Shypanski@henryschein.ca</t>
  </si>
  <si>
    <t>Ian.Walker@henryschein.ca</t>
  </si>
  <si>
    <t>James.Fyles@henryschein.ca</t>
  </si>
  <si>
    <t>Jamie.Chiasson@henryschein.ca</t>
  </si>
  <si>
    <t>Jason.Bechard@henryschein.ca</t>
  </si>
  <si>
    <t>Jeff.Blackett@henryschein.ca</t>
  </si>
  <si>
    <t>Jerry.Campbell@henryschein.ca</t>
  </si>
  <si>
    <t>Joe.Lipniczky@henryschein.ca</t>
  </si>
  <si>
    <t>Joel.Drever@henryschein.ca</t>
  </si>
  <si>
    <t>Joel.Ready@henryschein.ca</t>
  </si>
  <si>
    <t>John.Kosiek@henryschein.ca</t>
  </si>
  <si>
    <t>Ken.Walker@henryschein.ca</t>
  </si>
  <si>
    <t>Kevin.Kulbaba@henryschein.ca</t>
  </si>
  <si>
    <t>Kevin.Sakell@henryschein.ca</t>
  </si>
  <si>
    <t>Kimball.Morrison@henryschein.ca</t>
  </si>
  <si>
    <t>Mario.Gariepy@henryschein.ca</t>
  </si>
  <si>
    <t>Mariusz.Szelag@henryschein.ca</t>
  </si>
  <si>
    <t>Martin.Schneider@henryschein.ca</t>
  </si>
  <si>
    <t>Matthew.Rogers@henryschein.ca</t>
  </si>
  <si>
    <t>michael.hunter@henryschein.ca</t>
  </si>
  <si>
    <t>Michael.Johnston@henryschein.ca</t>
  </si>
  <si>
    <t>Michael.Luck@henryschein.ca</t>
  </si>
  <si>
    <t>Michel.Garant@henryschein.ca</t>
  </si>
  <si>
    <t>Mike.Tassie@henryschein.ca</t>
  </si>
  <si>
    <t>Mike.Thomson@henryschein.ca</t>
  </si>
  <si>
    <t>Nicolas.Deschenes@henryschein.ca</t>
  </si>
  <si>
    <t>Omaram.Ramlogan@henryschein.ca</t>
  </si>
  <si>
    <t>Paul.Karnafel@henryschein.ca</t>
  </si>
  <si>
    <t>Pierre.Laliberte@henryschein.ca</t>
  </si>
  <si>
    <t>Ray.Gauvin@henryschein.ca</t>
  </si>
  <si>
    <t>Raymond.Vanneste@henryschein.ca</t>
  </si>
  <si>
    <t>Richard.Villeneuve@henryschein.ca</t>
  </si>
  <si>
    <t>Richard.West@henryschein.ca</t>
  </si>
  <si>
    <t>Rick.Kathrens@henryschein.ca</t>
  </si>
  <si>
    <t>Rocky.Tummillo@henryschein.ca</t>
  </si>
  <si>
    <t>Roger.Birdsell@henryschein.ca</t>
  </si>
  <si>
    <t>Ross.Beaulieu@henryschein.ca</t>
  </si>
  <si>
    <t>Russell.Burton@henryschein.ca</t>
  </si>
  <si>
    <t>Serge.Gaudet@henryschein.ca</t>
  </si>
  <si>
    <t>Shane.Ulbl@henryschein.ca</t>
  </si>
  <si>
    <t>Shawn.Hunter@henryschein.ca</t>
  </si>
  <si>
    <t>Shawn.Soucy@henryschein.ca</t>
  </si>
  <si>
    <t>Simon.Keywood@henryschein.ca</t>
  </si>
  <si>
    <t>Stan.Sharivker@henryschein.ca</t>
  </si>
  <si>
    <t>Stephane.Belanger@henryschein.ca</t>
  </si>
  <si>
    <t>Stephane.Fortier@henryschein.ca</t>
  </si>
  <si>
    <t>Stephane.Morneau@henryschein.ca</t>
  </si>
  <si>
    <t>Stephane.Robillard@henryschein.ca</t>
  </si>
  <si>
    <t>Stephen.Mitton@henryschein.ca</t>
  </si>
  <si>
    <t>Steve.Bizri@henryschein.ca</t>
  </si>
  <si>
    <t>Steve.Blamire@henryschein.ca</t>
  </si>
  <si>
    <t>Steve.Cloutier@henryschein.ca</t>
  </si>
  <si>
    <t>Terry.Hollman@henryschein.ca</t>
  </si>
  <si>
    <t>Tom.Strizic@henryschein.ca</t>
  </si>
  <si>
    <t>Wayne.Sakowsky@henryschein.ca</t>
  </si>
  <si>
    <t>Wendy.Mccabe@henryschein.ca</t>
  </si>
  <si>
    <t>Rejean.Corno@henryschein.ca</t>
  </si>
  <si>
    <t>Wesley.Estey@henryschein.ca</t>
  </si>
  <si>
    <t>William.Brisson@henryschein.ca</t>
  </si>
  <si>
    <t>CZ1DW</t>
  </si>
  <si>
    <t>Susan.Trask@henryschein.ca</t>
  </si>
  <si>
    <t>Diane.McChesney@henryschein.ca</t>
  </si>
  <si>
    <t>Corinne.Smith@henryschein.ca</t>
  </si>
  <si>
    <t>Terrol.Rogers@henryschein.ca</t>
  </si>
  <si>
    <t>Marie-France.Charron@henryschein.ca</t>
  </si>
  <si>
    <t>Sally.Holland@henryschein.ca</t>
  </si>
  <si>
    <t>Donna.Riley@henryschein.ca</t>
  </si>
  <si>
    <t>Monique.Delery@henryschein.ca</t>
  </si>
  <si>
    <t>Heidi.Terbenche@henryschein.ca</t>
  </si>
  <si>
    <t>Andrew.Tweedie@henryschein.ca</t>
  </si>
  <si>
    <t>Pierre.Duchesneau@henryschein.ca</t>
  </si>
  <si>
    <t>Linda.Taylor@henryschein.ca</t>
  </si>
  <si>
    <t>Steve.Sale@henryschein.ca</t>
  </si>
  <si>
    <t>Alain.Picard@henryschein.ca</t>
  </si>
  <si>
    <t>Rob.Munden@henryschein.ca</t>
  </si>
  <si>
    <t>Kyle.White@henryschein.ca</t>
  </si>
  <si>
    <t>Bev.Robertson@henryschein.ca</t>
  </si>
  <si>
    <t>Claude.Klassen@henryschein.ca</t>
  </si>
  <si>
    <t>Kelvin.Day@henryschein.ca</t>
  </si>
  <si>
    <t>Josee.Lyonnais@henryschein.ca</t>
  </si>
  <si>
    <t>Lee.Fowler@henryschein.ca</t>
  </si>
  <si>
    <t>Weston.Richards@henryschein.ca</t>
  </si>
  <si>
    <t>Caroline.Latour@henryschein.ca</t>
  </si>
  <si>
    <t>Susan.Chomut@henryschein.ca</t>
  </si>
  <si>
    <t>Sonia.Landry@henryschein.ca</t>
  </si>
  <si>
    <t>Shirley.Merritt@henryschein.ca</t>
  </si>
  <si>
    <t>Tim.Hennessey@henryschein.ca</t>
  </si>
  <si>
    <t>Christine.Ward@henryschein.ca</t>
  </si>
  <si>
    <t>Melissa.DeLorenzi@henryschein.ca</t>
  </si>
  <si>
    <t>Maryse.Turgeon@henryschein.ca</t>
  </si>
  <si>
    <t>Alain.Maranda@henryschein.ca</t>
  </si>
  <si>
    <t>Jacques.Goulet@henryschein.ca</t>
  </si>
  <si>
    <t>Elisabete.Pinheiro@henryschein.ca</t>
  </si>
  <si>
    <t>Terry.McHugh@henryschein.ca</t>
  </si>
  <si>
    <t>Manon.Ouimet@henryschein.ca</t>
  </si>
  <si>
    <t>Monica.Chretien@henryschein.ca</t>
  </si>
  <si>
    <t>Philippe.Dahan@henryschein.ca</t>
  </si>
  <si>
    <t>Jennifer.Jobling@henryschein.ca</t>
  </si>
  <si>
    <t>Marc.Coulombe@henryschein.ca</t>
  </si>
  <si>
    <t>Don.Scott@henryschein.ca</t>
  </si>
  <si>
    <t>Nancy.Foisy@henryschein.ca</t>
  </si>
  <si>
    <t>Maxime.Simard@henryschein.ca</t>
  </si>
  <si>
    <t>Shirley.Wallace@henryschein.ca</t>
  </si>
  <si>
    <t>Andree.Proulx@henryschein.ca</t>
  </si>
  <si>
    <t>Carl.Bernat@henryschein.ca</t>
  </si>
  <si>
    <t>Cathy.Gould@henryschein.ca</t>
  </si>
  <si>
    <t>Peter.Vrouvides@henryschein.ca</t>
  </si>
  <si>
    <t>Drew.White@henryschein.ca</t>
  </si>
  <si>
    <t>Rachel.Jardine@henryschein.ca</t>
  </si>
  <si>
    <t>Charlotte.Steel@henryschein.ca</t>
  </si>
  <si>
    <t>David.Deeley@henryschein.ca</t>
  </si>
  <si>
    <t>Sarah.Schroeter@henryschein.ca</t>
  </si>
  <si>
    <t>Jeff.Adamski@henryschein.ca</t>
  </si>
  <si>
    <t>Jonathan.McKnight@henryschein.ca</t>
  </si>
  <si>
    <t>Hubert.Joanis@henryschein.ca</t>
  </si>
  <si>
    <t>Denis.Ouellet@henryschein.ca</t>
  </si>
  <si>
    <t>Tony.Aiello@henryschein.ca</t>
  </si>
  <si>
    <t>Lucy.Boduris@henryschein.ca</t>
  </si>
  <si>
    <t>Grace.Brohman@henryschein.ca</t>
  </si>
  <si>
    <t>Lianne.Hogarth@henryschein.ca</t>
  </si>
  <si>
    <t>Cynthia.Weaver@henryschein.ca</t>
  </si>
  <si>
    <t>Neil.McTavish@henryschein.ca</t>
  </si>
  <si>
    <t>Stephanie.Barbe@henryschein.ca</t>
  </si>
  <si>
    <t>Veronique.Cusson@henryschein.ca</t>
  </si>
  <si>
    <t>Blake.Goodall@henryschein.ca</t>
  </si>
  <si>
    <t>Erica.Picard@henryschein.ca</t>
  </si>
  <si>
    <t>Paige.Ogrodnick@henryschein.ca</t>
  </si>
  <si>
    <t>Michele.Seguin@henryschein.ca</t>
  </si>
  <si>
    <t>Vic.Goossen@henryschein.ca</t>
  </si>
  <si>
    <t>Horst.Schwingboth@henryschein.ca</t>
  </si>
  <si>
    <t>Dave.Marsh@henryschein.ca</t>
  </si>
  <si>
    <t>Krista.Shostak@henryschein.ca</t>
  </si>
  <si>
    <t>Dan.Laing@henryschein.ca</t>
  </si>
  <si>
    <t>Lynder.Bevan@henryschein.ca</t>
  </si>
  <si>
    <t>Warren.Bobinski@henryschein.ca</t>
  </si>
  <si>
    <t>Grey.Knechtel@henryschein.ca</t>
  </si>
  <si>
    <t>Derek.Pecyna@henryschein.ca</t>
  </si>
  <si>
    <t>Garry.Fransen@henryschein.ca</t>
  </si>
  <si>
    <t>Lynne.Willox@henryschein.ca</t>
  </si>
  <si>
    <t>Bruce.Opp@henryschein.ca</t>
  </si>
  <si>
    <t>Ken.Campbell@henryschein.ca</t>
  </si>
  <si>
    <t>Mark.Vanderham@henryschein.ca</t>
  </si>
  <si>
    <t>Twyla.Ronyk@henryschein.ca</t>
  </si>
  <si>
    <t>Guy.Martin@henryschein.ca</t>
  </si>
  <si>
    <t>Bronko.Kornhauzer@henryschein.ca</t>
  </si>
  <si>
    <t>Bev.Fredsberg@henryschein.ca</t>
  </si>
  <si>
    <t>Kathy.Anderson@henryschein.ca</t>
  </si>
  <si>
    <t>Steve.Henry@henryschein.ca</t>
  </si>
  <si>
    <t>Joe.Gard@henryschein.ca</t>
  </si>
  <si>
    <t>Robin.Volk@henryschein.ca</t>
  </si>
  <si>
    <t>Dean.Pollard@henryschein.ca</t>
  </si>
  <si>
    <t>Donna.Goergen@henryschein.ca</t>
  </si>
  <si>
    <t>Angie.Folk@henryschein.ca</t>
  </si>
  <si>
    <t>Barry.Wolovick@henryschein.ca</t>
  </si>
  <si>
    <t>Marlene.Perry@henryschein.ca</t>
  </si>
  <si>
    <t>Tammy.Schermerhorn@henryschein.ca</t>
  </si>
  <si>
    <t>Tracy.Markovich@henryschein.ca</t>
  </si>
  <si>
    <t>Nancy.VanSloten@henryschein.ca</t>
  </si>
  <si>
    <t>Elena.Lamont@henryschein.ca</t>
  </si>
  <si>
    <t>Robert.Piercy@henryschein.ca</t>
  </si>
  <si>
    <t>Blair.Hokanson@henryschein.ca</t>
  </si>
  <si>
    <t>Warren.Hayes@henryschein.ca</t>
  </si>
  <si>
    <t>David.Sampson@henryschein.ca</t>
  </si>
  <si>
    <t>Peter.Sampson@henryschein.ca</t>
  </si>
  <si>
    <t>Jason.Tingley@henryschein.ca</t>
  </si>
  <si>
    <t>Paul.Brown@henryschein.ca</t>
  </si>
  <si>
    <t>Shaun.Sullivan@henryschein.ca</t>
  </si>
  <si>
    <t>Doug.Stevens@henryschein.ca</t>
  </si>
  <si>
    <t>Sebastien.Ferron@henryschein.ca</t>
  </si>
  <si>
    <t>Jocelyn.Brisebois@henryschein.ca</t>
  </si>
  <si>
    <t>Robert.Brunelle@henryschein.ca</t>
  </si>
  <si>
    <t>Jacques.Crevier@henryschein.ca</t>
  </si>
  <si>
    <t>Joanne.Goulet@henryschein.ca</t>
  </si>
  <si>
    <t>Yves.Milette@henryschein.ca</t>
  </si>
  <si>
    <t>Dominique.Pierrehumbert@henryschein.ca</t>
  </si>
  <si>
    <t>Martine.Pinet@henryschein.ca</t>
  </si>
  <si>
    <t>Stephane.Simard@henryschein.ca</t>
  </si>
  <si>
    <t>Joyce.Galloway-Kent@henryschein.ca</t>
  </si>
  <si>
    <t>Steven.Parker@henryschein.ca</t>
  </si>
  <si>
    <t>Barry.Williams@henryschein.ca</t>
  </si>
  <si>
    <t>Jivan.Dwarka@henryschein.ca</t>
  </si>
  <si>
    <t>Peter.Tario@henryschein.ca</t>
  </si>
  <si>
    <t>Lizabeth.Kemp-Lipnicky@henryschein.ca</t>
  </si>
  <si>
    <t>Laura.Stewart@henryschein.ca</t>
  </si>
  <si>
    <t>Jim.Diehl@henryschein.ca</t>
  </si>
  <si>
    <t>Hovakim.Kelledjian@henryschein.ca</t>
  </si>
  <si>
    <t>Scott.Rooney@henryschein.ca</t>
  </si>
  <si>
    <t>Kevin.Riley@henryschein.ca</t>
  </si>
  <si>
    <t>Mark.Scott@henryschein.ca</t>
  </si>
  <si>
    <t>Laurie.Sylvester@henryschein.ca</t>
  </si>
  <si>
    <t>Geoff.Holod@henryschein.ca</t>
  </si>
  <si>
    <t>Kelly.Fradette@henryschein.ca</t>
  </si>
  <si>
    <t>Karen.Reis@henryschein.ca</t>
  </si>
  <si>
    <t>Doug.Hopkins@henryschein.ca</t>
  </si>
  <si>
    <t>Kathy.Marcia@henryschein.ca</t>
  </si>
  <si>
    <t>Glenn.Maves@henryschein.ca</t>
  </si>
  <si>
    <t>Ron.Poch@henryschein.ca</t>
  </si>
  <si>
    <t>Debbie.Ivany@henryschein.ca</t>
  </si>
  <si>
    <t>Dennis.Sutherland@henryschein.ca</t>
  </si>
  <si>
    <t>Christine.Park@henryschein.ca</t>
  </si>
  <si>
    <t>Ralph.Boyd@henryschein.ca</t>
  </si>
  <si>
    <t>Gary.Mitchell@henryschein.ca</t>
  </si>
  <si>
    <t>Doug.Jones@henryschein.ca</t>
  </si>
  <si>
    <t>George.Schwam@henryschein.ca</t>
  </si>
  <si>
    <t>Glenn.Turko@henryschein.ca</t>
  </si>
  <si>
    <t>Christy.Adamski@henryschein.ca</t>
  </si>
  <si>
    <t>Jennifer.Adamski@henryschein.ca</t>
  </si>
  <si>
    <t>John.Adamski@henryschein.ca</t>
  </si>
  <si>
    <t>Rick.Baxter@henryschein.ca</t>
  </si>
  <si>
    <t>Graham.Caise@henryschein.ca</t>
  </si>
  <si>
    <t>Joe.Clumpus@henryschein.ca</t>
  </si>
  <si>
    <t>Chris.Dynes@henryschein.ca</t>
  </si>
  <si>
    <t>Michael.King@henryschein.ca</t>
  </si>
  <si>
    <t>Mark.McCallum@henryschein.ca</t>
  </si>
  <si>
    <t>Janet.Noel@henryschein.ca</t>
  </si>
  <si>
    <t>Tom.Platt@henryschein.ca</t>
  </si>
  <si>
    <t>Eddie.Risi@henryschein.ca</t>
  </si>
  <si>
    <t>Gilda.Wainwright@henryschein.ca</t>
  </si>
  <si>
    <t>Tom.Wilkinson@henryschein.ca</t>
  </si>
  <si>
    <t>John.Wistoski@henryschein.ca</t>
  </si>
  <si>
    <t>Tom.jukna@henryschein.ca</t>
  </si>
  <si>
    <t xml:space="preserve"> </t>
  </si>
  <si>
    <t>Michael.chilibeck@henryschein.ca</t>
  </si>
  <si>
    <t>Hugh.Mcmurdo@henryschein.ca</t>
  </si>
  <si>
    <t>Jamie.Mcmurdo@henryschein.ca</t>
  </si>
  <si>
    <t>Doug.White@henryschein.ca</t>
  </si>
  <si>
    <t>Christian.Marsolais@henryschein.ca</t>
  </si>
  <si>
    <t>Christian.Bigaouette@henryschein.ca</t>
  </si>
  <si>
    <t>Terminated</t>
  </si>
  <si>
    <t>REMOVED</t>
  </si>
  <si>
    <t>MICHELLE HARRISSON</t>
  </si>
  <si>
    <t>JAMES SVIRK</t>
  </si>
  <si>
    <t>PAUL MARTIN</t>
  </si>
  <si>
    <t>CAROLINE BOUVIER</t>
  </si>
  <si>
    <t>YVES TREPANIER</t>
  </si>
  <si>
    <t>JULIAN FORSTER</t>
  </si>
  <si>
    <t>IAN JOYCE</t>
  </si>
  <si>
    <t>GHISLAIN LAROCHELLE</t>
  </si>
  <si>
    <t>FRASER MCTAVISH</t>
  </si>
  <si>
    <t>TREENA ADAMS</t>
  </si>
  <si>
    <t>RODNEY LOBOZAR</t>
  </si>
  <si>
    <t>KIRSTEN SKOCDOPOLE</t>
  </si>
  <si>
    <t>CZ1FW</t>
  </si>
  <si>
    <t>CZ1I6</t>
  </si>
  <si>
    <t>QZ9PM</t>
  </si>
  <si>
    <t>WZ2CB</t>
  </si>
  <si>
    <t>QZ1MK</t>
  </si>
  <si>
    <t>WZ6JF</t>
  </si>
  <si>
    <t>AZ1MF</t>
  </si>
  <si>
    <t>QZ188</t>
  </si>
  <si>
    <t>CZ1WS</t>
  </si>
  <si>
    <t>CZ2TA</t>
  </si>
  <si>
    <t>WZ1AZ</t>
  </si>
  <si>
    <t>WZ1BP</t>
  </si>
  <si>
    <t>Removed</t>
  </si>
  <si>
    <t>Michelle.Harrisson@henryschein.ca</t>
  </si>
  <si>
    <t>James.Svirk@henryschein.ca</t>
  </si>
  <si>
    <t>Paul.Martin@henryschein.ca</t>
  </si>
  <si>
    <t>Yves.Trepanier@henryschein.ca</t>
  </si>
  <si>
    <t>Caroline.Bouvier@henryschein.ca</t>
  </si>
  <si>
    <t>Julian.Forster@henryschein.ca</t>
  </si>
  <si>
    <t>Ian.Joyce@henryschein.ca</t>
  </si>
  <si>
    <t>Ghislain.Larochelle@henryschein.ca</t>
  </si>
  <si>
    <t>Fraser.Mctavish@henryschein.ca</t>
  </si>
  <si>
    <t>Treena.Adams@henryschein.ca</t>
  </si>
  <si>
    <t>Rodney.Lobozar@henryschein.ca</t>
  </si>
  <si>
    <t>Kirsten.Skocdopole@henryschein.ca</t>
  </si>
  <si>
    <t>QZ1CB</t>
  </si>
  <si>
    <t>CZ1E2</t>
  </si>
  <si>
    <t>Mario.Charette@henryschein.ca</t>
  </si>
  <si>
    <t>New EST</t>
  </si>
  <si>
    <t>Tony.Kranjcevic@henryschein.ca</t>
  </si>
  <si>
    <t>WZ1BF</t>
  </si>
  <si>
    <t>CZ1SA</t>
  </si>
  <si>
    <t>BRENDAN DU VALL</t>
  </si>
  <si>
    <t>Brendan.Duvall@henryschein.ca</t>
  </si>
  <si>
    <t>2nd Territory - Deleted Apr 11/11</t>
  </si>
  <si>
    <t>Jocelyn.Cordeau@henryschein.ca</t>
  </si>
  <si>
    <t>CZ1BD</t>
  </si>
  <si>
    <t>Shannon.Aarts@henryschein.ca</t>
  </si>
  <si>
    <t>Code</t>
  </si>
  <si>
    <t>Type</t>
  </si>
  <si>
    <t>O</t>
  </si>
  <si>
    <t>Column to Start Selection</t>
  </si>
  <si>
    <t>N</t>
  </si>
  <si>
    <t>Delete current Config.xml file</t>
  </si>
  <si>
    <t>Now Rec Statement</t>
  </si>
  <si>
    <t>Dino.Lisi@henryschein.ca</t>
  </si>
  <si>
    <t>Joseph.Karman@henryschein.ca</t>
  </si>
  <si>
    <t>Alfred.Karba@henryschein.ca</t>
  </si>
  <si>
    <t>Return from LOA</t>
  </si>
  <si>
    <t>Attachment 1</t>
  </si>
  <si>
    <t>Attachment 2</t>
  </si>
  <si>
    <t>Select Col Code [X]</t>
  </si>
  <si>
    <t>AA</t>
  </si>
  <si>
    <t>AC</t>
  </si>
  <si>
    <t>AE</t>
  </si>
  <si>
    <t>AG</t>
  </si>
  <si>
    <t>AI</t>
  </si>
  <si>
    <r>
      <t xml:space="preserve">Save Transfer page as </t>
    </r>
    <r>
      <rPr>
        <b/>
        <sz val="11"/>
        <color rgb="FFFF0000"/>
        <rFont val="Calibri"/>
        <family val="2"/>
      </rPr>
      <t>TBA</t>
    </r>
    <r>
      <rPr>
        <sz val="11"/>
        <color theme="1"/>
        <rFont val="Calibri"/>
        <family val="2"/>
        <scheme val="minor"/>
      </rPr>
      <t>.xls</t>
    </r>
  </si>
  <si>
    <t xml:space="preserve">Macro Steps: </t>
  </si>
  <si>
    <t xml:space="preserve">Code: </t>
  </si>
  <si>
    <t>Copy config file name from B10 to Config.xml</t>
  </si>
  <si>
    <t>starting with column stated in B15 compare if "X" on Email Master - if yes then copy the data in column C [email address] and paste values to Transfer Page column B</t>
  </si>
  <si>
    <t xml:space="preserve"> if yes above then copy the two columns of data starting in the column stated in B16 and paste values into Transfer Page columns E &amp; F</t>
  </si>
  <si>
    <t>if yes above then Copy paste value B8 to Transfer Sheet column C</t>
  </si>
  <si>
    <t>Continue down testing the "X" until count = B17</t>
  </si>
  <si>
    <t xml:space="preserve">Email Run Selection No.: </t>
  </si>
  <si>
    <t xml:space="preserve">Email Date: </t>
  </si>
  <si>
    <t xml:space="preserve">Statement [File] Date: </t>
  </si>
  <si>
    <t>Not Used</t>
  </si>
  <si>
    <t>P</t>
  </si>
  <si>
    <t>Q</t>
  </si>
  <si>
    <t>R</t>
  </si>
  <si>
    <t>S</t>
  </si>
  <si>
    <t>U</t>
  </si>
  <si>
    <t>V</t>
  </si>
  <si>
    <t>W</t>
  </si>
  <si>
    <t>Y</t>
  </si>
  <si>
    <t>Z</t>
  </si>
  <si>
    <t>AB</t>
  </si>
  <si>
    <t>AD</t>
  </si>
  <si>
    <t>AF</t>
  </si>
  <si>
    <t>AH</t>
  </si>
  <si>
    <t>AJ</t>
  </si>
  <si>
    <t>AK</t>
  </si>
  <si>
    <t>AL</t>
  </si>
  <si>
    <t>AM</t>
  </si>
  <si>
    <t>AN</t>
  </si>
  <si>
    <t>AO</t>
  </si>
  <si>
    <t>AP</t>
  </si>
  <si>
    <t>ESTCommissionStatement</t>
  </si>
  <si>
    <t>Note: Attachments must in the form YYYYMM_Terr Cd_filename</t>
  </si>
  <si>
    <t>FTE</t>
  </si>
  <si>
    <t>BROWN</t>
  </si>
  <si>
    <t>RUSSEL</t>
  </si>
  <si>
    <t>VP, Sales</t>
  </si>
  <si>
    <t>Niagara-On-The-Lake</t>
  </si>
  <si>
    <t>PHILIPPE</t>
  </si>
  <si>
    <t>Montreal</t>
  </si>
  <si>
    <t>RUSSO</t>
  </si>
  <si>
    <t>JACQUIE</t>
  </si>
  <si>
    <t>Sales Analyst &amp; Administrator</t>
  </si>
  <si>
    <t>SPADAFORE</t>
  </si>
  <si>
    <t>JAIME</t>
  </si>
  <si>
    <t>COLAGIACOMO</t>
  </si>
  <si>
    <t>FRANCA</t>
  </si>
  <si>
    <t>Toronto</t>
  </si>
  <si>
    <t>FRAZAO</t>
  </si>
  <si>
    <t>CRYSTAL</t>
  </si>
  <si>
    <t>LEGERE</t>
  </si>
  <si>
    <t>ODETTE</t>
  </si>
  <si>
    <t>Planning &amp; Design Consultant</t>
  </si>
  <si>
    <t>MEDEIROS</t>
  </si>
  <si>
    <t>CHRISTINE</t>
  </si>
  <si>
    <t>MITCHELL</t>
  </si>
  <si>
    <t>SUSANNA</t>
  </si>
  <si>
    <t>PANARONI</t>
  </si>
  <si>
    <t>WALTER</t>
  </si>
  <si>
    <t>GABRIELE</t>
  </si>
  <si>
    <t>PATEL</t>
  </si>
  <si>
    <t>JAIPREET</t>
  </si>
  <si>
    <t>SUTHERLAND</t>
  </si>
  <si>
    <t>TERRESSA</t>
  </si>
  <si>
    <t>WEATHERILL</t>
  </si>
  <si>
    <t>TARRA</t>
  </si>
  <si>
    <t>BOUKHALIL</t>
  </si>
  <si>
    <t>ELIE</t>
  </si>
  <si>
    <t>GAGNON</t>
  </si>
  <si>
    <t>YVES</t>
  </si>
  <si>
    <t>MONETTE</t>
  </si>
  <si>
    <t>ANNICK</t>
  </si>
  <si>
    <t>POIRIER</t>
  </si>
  <si>
    <t>MAXIME</t>
  </si>
  <si>
    <t>TANJA</t>
  </si>
  <si>
    <t>Vancouver</t>
  </si>
  <si>
    <t>VIZER</t>
  </si>
  <si>
    <t>LIAT</t>
  </si>
  <si>
    <t>ABELL</t>
  </si>
  <si>
    <t>TARA</t>
  </si>
  <si>
    <t>ANDERSON</t>
  </si>
  <si>
    <t>BRANDON</t>
  </si>
  <si>
    <t>DC Support</t>
  </si>
  <si>
    <t>Niagara-On-The-Lake DC</t>
  </si>
  <si>
    <t>BOUSFIELD</t>
  </si>
  <si>
    <t>ELAINE</t>
  </si>
  <si>
    <t>BRODHAGEN</t>
  </si>
  <si>
    <t>JAMES</t>
  </si>
  <si>
    <t>BROOKER</t>
  </si>
  <si>
    <t>RUSSELL</t>
  </si>
  <si>
    <t>CAUGHILL</t>
  </si>
  <si>
    <t>ROBERT</t>
  </si>
  <si>
    <t>COOPER</t>
  </si>
  <si>
    <t>HOLLEE</t>
  </si>
  <si>
    <t>CRAIG</t>
  </si>
  <si>
    <t>NANCY</t>
  </si>
  <si>
    <t>CROOKER</t>
  </si>
  <si>
    <t>DAILERIAN</t>
  </si>
  <si>
    <t>JOE</t>
  </si>
  <si>
    <t>DJURIC</t>
  </si>
  <si>
    <t>ALEKSANDAR</t>
  </si>
  <si>
    <t>FAIELLA</t>
  </si>
  <si>
    <t>FARRELL</t>
  </si>
  <si>
    <t>AMANDA</t>
  </si>
  <si>
    <t>GADAL</t>
  </si>
  <si>
    <t>LYNN</t>
  </si>
  <si>
    <t>GOODER</t>
  </si>
  <si>
    <t>JENNIFER</t>
  </si>
  <si>
    <t>GRANT</t>
  </si>
  <si>
    <t>JUDY</t>
  </si>
  <si>
    <t>HOWE</t>
  </si>
  <si>
    <t>HUDSPITH</t>
  </si>
  <si>
    <t>DARYLL</t>
  </si>
  <si>
    <t>JEFFREY</t>
  </si>
  <si>
    <t>KELLY</t>
  </si>
  <si>
    <t>JONES</t>
  </si>
  <si>
    <t>BRENDA</t>
  </si>
  <si>
    <t>LAMPMAN</t>
  </si>
  <si>
    <t>COLLEEN</t>
  </si>
  <si>
    <t>CHRISTOPHER</t>
  </si>
  <si>
    <t>LOVELL</t>
  </si>
  <si>
    <t>TERESA</t>
  </si>
  <si>
    <t>MACDONALD</t>
  </si>
  <si>
    <t>KAREN</t>
  </si>
  <si>
    <t>MACNEIL</t>
  </si>
  <si>
    <t>SUE</t>
  </si>
  <si>
    <t>MARSHALL</t>
  </si>
  <si>
    <t>CATHALINE</t>
  </si>
  <si>
    <t>MILLETICS</t>
  </si>
  <si>
    <t>MARY</t>
  </si>
  <si>
    <t>MONAGHAN</t>
  </si>
  <si>
    <t>LARRY</t>
  </si>
  <si>
    <t>DC Support Lead Hand</t>
  </si>
  <si>
    <t>OSMAN</t>
  </si>
  <si>
    <t>RICHARD</t>
  </si>
  <si>
    <t>PHILLIP</t>
  </si>
  <si>
    <t>DUDLEY</t>
  </si>
  <si>
    <t>RIDOUT</t>
  </si>
  <si>
    <t>KYLE</t>
  </si>
  <si>
    <t>ROSENTHAL</t>
  </si>
  <si>
    <t>MICHELLE</t>
  </si>
  <si>
    <t>RYE</t>
  </si>
  <si>
    <t>CAROL</t>
  </si>
  <si>
    <t>SACCO</t>
  </si>
  <si>
    <t>CHRISTA</t>
  </si>
  <si>
    <t>SANDONATO</t>
  </si>
  <si>
    <t>SHARON</t>
  </si>
  <si>
    <t>SUTHONS</t>
  </si>
  <si>
    <t>BRENDAN</t>
  </si>
  <si>
    <t>WARREN</t>
  </si>
  <si>
    <t>SAMANTHA</t>
  </si>
  <si>
    <t>WOODCOX</t>
  </si>
  <si>
    <t>ADAM</t>
  </si>
  <si>
    <t>ALCAZAR</t>
  </si>
  <si>
    <t>REMEDIOS</t>
  </si>
  <si>
    <t>ALCOSIBA</t>
  </si>
  <si>
    <t>MARK JOHN</t>
  </si>
  <si>
    <t>BURKE</t>
  </si>
  <si>
    <t>STEVEN</t>
  </si>
  <si>
    <t>CARRIGAN</t>
  </si>
  <si>
    <t>JOHN</t>
  </si>
  <si>
    <t>Vancouver DC</t>
  </si>
  <si>
    <t>CHAM</t>
  </si>
  <si>
    <t>JOEY</t>
  </si>
  <si>
    <t>CHANTLER</t>
  </si>
  <si>
    <t>BRIAN</t>
  </si>
  <si>
    <t>CONRAD</t>
  </si>
  <si>
    <t>GRAHAM</t>
  </si>
  <si>
    <t>FLORES</t>
  </si>
  <si>
    <t>SUSSY</t>
  </si>
  <si>
    <t>GAYLORD</t>
  </si>
  <si>
    <t>ANDREW</t>
  </si>
  <si>
    <t>GHIAS</t>
  </si>
  <si>
    <t>ABDULRAB</t>
  </si>
  <si>
    <t>JAT</t>
  </si>
  <si>
    <t>AHSAN</t>
  </si>
  <si>
    <t>JENSEN</t>
  </si>
  <si>
    <t>JOANN</t>
  </si>
  <si>
    <t>KANG</t>
  </si>
  <si>
    <t>SARBJIT</t>
  </si>
  <si>
    <t>KINGAN</t>
  </si>
  <si>
    <t>GORDON</t>
  </si>
  <si>
    <t>MOJADIDI</t>
  </si>
  <si>
    <t>AHMAD</t>
  </si>
  <si>
    <t>RIVERA</t>
  </si>
  <si>
    <t>CYNTHIA</t>
  </si>
  <si>
    <t>STOCKER</t>
  </si>
  <si>
    <t>LAURIE</t>
  </si>
  <si>
    <t>TAIT</t>
  </si>
  <si>
    <t>KIM</t>
  </si>
  <si>
    <t>UFNAL</t>
  </si>
  <si>
    <t>JOSEPH</t>
  </si>
  <si>
    <t>COLE</t>
  </si>
  <si>
    <t>ASHLEY</t>
  </si>
  <si>
    <t>Calgary</t>
  </si>
  <si>
    <t>DEBAKKER</t>
  </si>
  <si>
    <t>Calgary DC</t>
  </si>
  <si>
    <t>DU</t>
  </si>
  <si>
    <t>JENNY CHAN</t>
  </si>
  <si>
    <t>DUXBURY</t>
  </si>
  <si>
    <t>ANNETTE</t>
  </si>
  <si>
    <t>DYER</t>
  </si>
  <si>
    <t>NICOLE</t>
  </si>
  <si>
    <t>ETTINGER</t>
  </si>
  <si>
    <t>MICHAEL</t>
  </si>
  <si>
    <t>FRECKELTON</t>
  </si>
  <si>
    <t>CHERYCE</t>
  </si>
  <si>
    <t>GREAVES</t>
  </si>
  <si>
    <t>LAWRENCE</t>
  </si>
  <si>
    <t>HALFORD</t>
  </si>
  <si>
    <t>ROB</t>
  </si>
  <si>
    <t>HEMING</t>
  </si>
  <si>
    <t>CORYN</t>
  </si>
  <si>
    <t>HUGHES</t>
  </si>
  <si>
    <t>BRYAN</t>
  </si>
  <si>
    <t>HUYNH</t>
  </si>
  <si>
    <t>PIERRE</t>
  </si>
  <si>
    <t>JENNISSEN</t>
  </si>
  <si>
    <t>JORDAN</t>
  </si>
  <si>
    <t>KATCHUK</t>
  </si>
  <si>
    <t>KIPLING</t>
  </si>
  <si>
    <t>JON</t>
  </si>
  <si>
    <t>LA</t>
  </si>
  <si>
    <t>LOAN</t>
  </si>
  <si>
    <t>LEIMER</t>
  </si>
  <si>
    <t>MAUREEN</t>
  </si>
  <si>
    <t>LI</t>
  </si>
  <si>
    <t>MIN RU</t>
  </si>
  <si>
    <t>LINNY</t>
  </si>
  <si>
    <t>JOHNATHAN</t>
  </si>
  <si>
    <t>MANSIT</t>
  </si>
  <si>
    <t>CHARITO</t>
  </si>
  <si>
    <t>MCCLEARY</t>
  </si>
  <si>
    <t>MOREY</t>
  </si>
  <si>
    <t>MUNDY</t>
  </si>
  <si>
    <t>ROSE</t>
  </si>
  <si>
    <t>PARILLA</t>
  </si>
  <si>
    <t>ALEXANDER</t>
  </si>
  <si>
    <t>PHAN</t>
  </si>
  <si>
    <t>SOURIDETH LY</t>
  </si>
  <si>
    <t>PRATICO</t>
  </si>
  <si>
    <t>PUNNAMANNIL</t>
  </si>
  <si>
    <t>SUJA</t>
  </si>
  <si>
    <t>RENNEY</t>
  </si>
  <si>
    <t>VINCENT</t>
  </si>
  <si>
    <t>RUZSINSZKI</t>
  </si>
  <si>
    <t>SAYSANA</t>
  </si>
  <si>
    <t>PATRICK</t>
  </si>
  <si>
    <t>SENE</t>
  </si>
  <si>
    <t>ALIOU</t>
  </si>
  <si>
    <t>SENE.</t>
  </si>
  <si>
    <t>SERQUINA</t>
  </si>
  <si>
    <t>VIVIEN</t>
  </si>
  <si>
    <t>SHANTZ</t>
  </si>
  <si>
    <t>BENJAMIN</t>
  </si>
  <si>
    <t>SMITH</t>
  </si>
  <si>
    <t>STEVENSON</t>
  </si>
  <si>
    <t>AMY</t>
  </si>
  <si>
    <t>THURN</t>
  </si>
  <si>
    <t>DAMON</t>
  </si>
  <si>
    <t>TRINH</t>
  </si>
  <si>
    <t>THAO</t>
  </si>
  <si>
    <t>TURNER</t>
  </si>
  <si>
    <t>DAVID</t>
  </si>
  <si>
    <t>USHER</t>
  </si>
  <si>
    <t>WENDY</t>
  </si>
  <si>
    <t>WASSIE</t>
  </si>
  <si>
    <t>PARNIAN</t>
  </si>
  <si>
    <t>WEST</t>
  </si>
  <si>
    <t>DOUGLAS</t>
  </si>
  <si>
    <t>BELANGER</t>
  </si>
  <si>
    <t>MARK</t>
  </si>
  <si>
    <t>BENNETT</t>
  </si>
  <si>
    <t>BILLINGS</t>
  </si>
  <si>
    <t>CATHERINE</t>
  </si>
  <si>
    <t>BISSON</t>
  </si>
  <si>
    <t>JACQUELINE</t>
  </si>
  <si>
    <t>BOB</t>
  </si>
  <si>
    <t>ANNE</t>
  </si>
  <si>
    <t>DANDATO</t>
  </si>
  <si>
    <t>MBUSO</t>
  </si>
  <si>
    <t>DESANTIS</t>
  </si>
  <si>
    <t>VIRGINIA</t>
  </si>
  <si>
    <t>FEHLOW</t>
  </si>
  <si>
    <t>SHAWN</t>
  </si>
  <si>
    <t>GERL</t>
  </si>
  <si>
    <t>GILBERT</t>
  </si>
  <si>
    <t>PETER</t>
  </si>
  <si>
    <t>HUTT</t>
  </si>
  <si>
    <t>ERIC</t>
  </si>
  <si>
    <t>JANZEN</t>
  </si>
  <si>
    <t>LEBRASSEUR</t>
  </si>
  <si>
    <t>PHYLIS</t>
  </si>
  <si>
    <t>MALLABAR</t>
  </si>
  <si>
    <t>MCINTOSH</t>
  </si>
  <si>
    <t>SAARI</t>
  </si>
  <si>
    <t>ANNABELLE</t>
  </si>
  <si>
    <t>SEBASTIAN</t>
  </si>
  <si>
    <t>RUTH</t>
  </si>
  <si>
    <t>SPEIRS</t>
  </si>
  <si>
    <t>THEISEN</t>
  </si>
  <si>
    <t>DWAYNE</t>
  </si>
  <si>
    <t>VANSTONE</t>
  </si>
  <si>
    <t>TINA</t>
  </si>
  <si>
    <t>ALFRED</t>
  </si>
  <si>
    <t>WILSON</t>
  </si>
  <si>
    <t>DANIEL</t>
  </si>
  <si>
    <t>BOICE</t>
  </si>
  <si>
    <t>BURTNICK</t>
  </si>
  <si>
    <t>ALAN</t>
  </si>
  <si>
    <t>HEESE</t>
  </si>
  <si>
    <t>WOLFGANG</t>
  </si>
  <si>
    <t>MIYAWAKI</t>
  </si>
  <si>
    <t>TED</t>
  </si>
  <si>
    <t>TARR</t>
  </si>
  <si>
    <t>BOYD</t>
  </si>
  <si>
    <t>KEN</t>
  </si>
  <si>
    <t>CALLAHAN</t>
  </si>
  <si>
    <t>FOSTER</t>
  </si>
  <si>
    <t>BAILEE ANN</t>
  </si>
  <si>
    <t>MARTIN</t>
  </si>
  <si>
    <t>PARKER</t>
  </si>
  <si>
    <t>ROBICHAUD</t>
  </si>
  <si>
    <t>SPARVIER</t>
  </si>
  <si>
    <t>DENEEN</t>
  </si>
  <si>
    <t>STEWART</t>
  </si>
  <si>
    <t>PHILOMENA</t>
  </si>
  <si>
    <t>SARAH</t>
  </si>
  <si>
    <t>BANFIELD</t>
  </si>
  <si>
    <t>BARB</t>
  </si>
  <si>
    <t>CREIGHTON</t>
  </si>
  <si>
    <t>DARRYL</t>
  </si>
  <si>
    <t>DUPLESSIS</t>
  </si>
  <si>
    <t>SHANE</t>
  </si>
  <si>
    <t>DUQUETTE</t>
  </si>
  <si>
    <t>BRAD</t>
  </si>
  <si>
    <t>FERRON</t>
  </si>
  <si>
    <t>JACKIE</t>
  </si>
  <si>
    <t>MCCLOY</t>
  </si>
  <si>
    <t>GEORGINA</t>
  </si>
  <si>
    <t>MONROE</t>
  </si>
  <si>
    <t>NEUFELD</t>
  </si>
  <si>
    <t>LINDA</t>
  </si>
  <si>
    <t>SEMENYA</t>
  </si>
  <si>
    <t>SAMUEL</t>
  </si>
  <si>
    <t>TEEPLE</t>
  </si>
  <si>
    <t>CHIU</t>
  </si>
  <si>
    <t>CARLTON</t>
  </si>
  <si>
    <t>CORDERY</t>
  </si>
  <si>
    <t>ERIKA</t>
  </si>
  <si>
    <t>HSU</t>
  </si>
  <si>
    <t>DANNY</t>
  </si>
  <si>
    <t>RODEN</t>
  </si>
  <si>
    <t>MARIA</t>
  </si>
  <si>
    <t>MCMILLAN</t>
  </si>
  <si>
    <t>JONATHAN</t>
  </si>
  <si>
    <t>YOUNG</t>
  </si>
  <si>
    <t>MURRAY</t>
  </si>
  <si>
    <t>ZHEN</t>
  </si>
  <si>
    <t>SHU</t>
  </si>
  <si>
    <t>RASHID</t>
  </si>
  <si>
    <t>FAHAM</t>
  </si>
  <si>
    <t>National Operations &amp; Customer Satisfaction Manager</t>
  </si>
  <si>
    <t>EARLE</t>
  </si>
  <si>
    <t>DON</t>
  </si>
  <si>
    <t>KUBICA</t>
  </si>
  <si>
    <t>THOMPSON</t>
  </si>
  <si>
    <t>DONALD</t>
  </si>
  <si>
    <t>Outbound/Production Supervisor</t>
  </si>
  <si>
    <t>TROTMAN</t>
  </si>
  <si>
    <t>KEITH</t>
  </si>
  <si>
    <t>FLAIG</t>
  </si>
  <si>
    <t>JACK</t>
  </si>
  <si>
    <t>LIU</t>
  </si>
  <si>
    <t>DC Manager</t>
  </si>
  <si>
    <t>SULLIVAN</t>
  </si>
  <si>
    <t>ADDINALL</t>
  </si>
  <si>
    <t>MICK</t>
  </si>
  <si>
    <t>Western Region Distribution Manager</t>
  </si>
  <si>
    <t>HALL</t>
  </si>
  <si>
    <t>IRWIN</t>
  </si>
  <si>
    <t>DC Supervisor</t>
  </si>
  <si>
    <t>KING</t>
  </si>
  <si>
    <t>JEFF</t>
  </si>
  <si>
    <t>THANGARAJAH</t>
  </si>
  <si>
    <t>JUDE</t>
  </si>
  <si>
    <t>BALLANTYNE</t>
  </si>
  <si>
    <t>AMBER</t>
  </si>
  <si>
    <t>CAPIAK</t>
  </si>
  <si>
    <t>Regulatory Administrator</t>
  </si>
  <si>
    <t>DECICCO</t>
  </si>
  <si>
    <t>Regulatory Manager</t>
  </si>
  <si>
    <t>GOERZ</t>
  </si>
  <si>
    <t>JOANNE</t>
  </si>
  <si>
    <t>Customs Specialist</t>
  </si>
  <si>
    <t>ELIZABETH</t>
  </si>
  <si>
    <t>JULAL</t>
  </si>
  <si>
    <t>QUELHAS</t>
  </si>
  <si>
    <t>THORNTON</t>
  </si>
  <si>
    <t>WEBB</t>
  </si>
  <si>
    <t>MARGARET</t>
  </si>
  <si>
    <t>Export Clerk</t>
  </si>
  <si>
    <t>FOWLER</t>
  </si>
  <si>
    <t>Safety &amp; Security Manager</t>
  </si>
  <si>
    <t>GREEN</t>
  </si>
  <si>
    <t>Security/Safety Manager</t>
  </si>
  <si>
    <t>CASSELL</t>
  </si>
  <si>
    <t>DEBORAH</t>
  </si>
  <si>
    <t>HR Student</t>
  </si>
  <si>
    <t>GAGNE</t>
  </si>
  <si>
    <t>FAYE</t>
  </si>
  <si>
    <t>HUDSON</t>
  </si>
  <si>
    <t>INGRIBELLI</t>
  </si>
  <si>
    <t>EVA</t>
  </si>
  <si>
    <t>HRIS Coordinator</t>
  </si>
  <si>
    <t>ROONEY</t>
  </si>
  <si>
    <t>SANDRA</t>
  </si>
  <si>
    <t>Manager, TSM Relations &amp; Performance Excellence</t>
  </si>
  <si>
    <t>RUGGI</t>
  </si>
  <si>
    <t>LILY</t>
  </si>
  <si>
    <t>National Compensation &amp; Benefits Manager</t>
  </si>
  <si>
    <t>SAUNDERS</t>
  </si>
  <si>
    <t>MARCEY</t>
  </si>
  <si>
    <t>ALLEN</t>
  </si>
  <si>
    <t>Talent Acquisition &amp; Development Specialist</t>
  </si>
  <si>
    <t>BUTCHER</t>
  </si>
  <si>
    <t>RANDI</t>
  </si>
  <si>
    <t>LAMB</t>
  </si>
  <si>
    <t>Manager, Talent Acquisition &amp; Development</t>
  </si>
  <si>
    <t>WRAE</t>
  </si>
  <si>
    <t>Human Resources Coordinator</t>
  </si>
  <si>
    <t>CROWE</t>
  </si>
  <si>
    <t>CURRAH</t>
  </si>
  <si>
    <t>FISHER</t>
  </si>
  <si>
    <t>HANIF</t>
  </si>
  <si>
    <t>BIBI</t>
  </si>
  <si>
    <t>Benefits Specialist</t>
  </si>
  <si>
    <t>HART</t>
  </si>
  <si>
    <t>Recruiting Coordinator</t>
  </si>
  <si>
    <t>LOMBARD</t>
  </si>
  <si>
    <t>ANGLE</t>
  </si>
  <si>
    <t>BESA</t>
  </si>
  <si>
    <t>BITTMAN</t>
  </si>
  <si>
    <t>LORELEI</t>
  </si>
  <si>
    <t>Administration Coordinator</t>
  </si>
  <si>
    <t>DOLORES</t>
  </si>
  <si>
    <t>AVRAMOVIC</t>
  </si>
  <si>
    <t>DRAGANA</t>
  </si>
  <si>
    <t>CARRIERE</t>
  </si>
  <si>
    <t>MARIANNE</t>
  </si>
  <si>
    <t>Customer Service Representative (CSR)</t>
  </si>
  <si>
    <t>CONSTANT</t>
  </si>
  <si>
    <t>PAULINE</t>
  </si>
  <si>
    <t>Account Customer Service Representative</t>
  </si>
  <si>
    <t>DES ROCHES</t>
  </si>
  <si>
    <t>ERICA</t>
  </si>
  <si>
    <t>LENCHYSHYN</t>
  </si>
  <si>
    <t>JASMINE</t>
  </si>
  <si>
    <t>MALLETTE</t>
  </si>
  <si>
    <t>MCGINLAY</t>
  </si>
  <si>
    <t>MILLAR</t>
  </si>
  <si>
    <t>GAIL</t>
  </si>
  <si>
    <t>Reception/CSR Support</t>
  </si>
  <si>
    <t>MORIN</t>
  </si>
  <si>
    <t>IRINA</t>
  </si>
  <si>
    <t>Customer Service Gatekeeper</t>
  </si>
  <si>
    <t>UPPER</t>
  </si>
  <si>
    <t>LAURA</t>
  </si>
  <si>
    <t>CSR Support</t>
  </si>
  <si>
    <t>BINNIE</t>
  </si>
  <si>
    <t>HOEFLICH</t>
  </si>
  <si>
    <t>HOFFERT</t>
  </si>
  <si>
    <t>DARLA</t>
  </si>
  <si>
    <t>MOSSOP</t>
  </si>
  <si>
    <t>DONNA</t>
  </si>
  <si>
    <t>Edmonton</t>
  </si>
  <si>
    <t>SHARP</t>
  </si>
  <si>
    <t>DEBRA</t>
  </si>
  <si>
    <t>VALENZUELA</t>
  </si>
  <si>
    <t>AQUINO</t>
  </si>
  <si>
    <t>ARANGIO</t>
  </si>
  <si>
    <t>BIONDO</t>
  </si>
  <si>
    <t>ENZA</t>
  </si>
  <si>
    <t>DAY</t>
  </si>
  <si>
    <t>PATRICIA</t>
  </si>
  <si>
    <t>Central Customer Service Hub Manager</t>
  </si>
  <si>
    <t>ENRIQUEZ</t>
  </si>
  <si>
    <t>GRACIA</t>
  </si>
  <si>
    <t>FINLAY</t>
  </si>
  <si>
    <t>DAVID J.</t>
  </si>
  <si>
    <t>KRISTINA</t>
  </si>
  <si>
    <t>JOHNSTON</t>
  </si>
  <si>
    <t>ISABEL</t>
  </si>
  <si>
    <t>MCDERMOTT</t>
  </si>
  <si>
    <t>PARENTE</t>
  </si>
  <si>
    <t>RENWICK</t>
  </si>
  <si>
    <t>RICHMOND</t>
  </si>
  <si>
    <t>PAUL</t>
  </si>
  <si>
    <t>SAMPAT</t>
  </si>
  <si>
    <t>SHERMELA</t>
  </si>
  <si>
    <t>SZEKELY</t>
  </si>
  <si>
    <t>SHERI</t>
  </si>
  <si>
    <t>WOLEK</t>
  </si>
  <si>
    <t>TAMMY</t>
  </si>
  <si>
    <t>BOUCHARD</t>
  </si>
  <si>
    <t>Quebec City</t>
  </si>
  <si>
    <t>CHARTRAND</t>
  </si>
  <si>
    <t>STEPHANE</t>
  </si>
  <si>
    <t>FERLAND</t>
  </si>
  <si>
    <t>ANNE-MARIE</t>
  </si>
  <si>
    <t>GIROUX</t>
  </si>
  <si>
    <t>CELINE</t>
  </si>
  <si>
    <t>LAPLANTE</t>
  </si>
  <si>
    <t>JOCELYNE</t>
  </si>
  <si>
    <t>LEMIEUX</t>
  </si>
  <si>
    <t>JOHANNE</t>
  </si>
  <si>
    <t>CSR - Lab</t>
  </si>
  <si>
    <t>ROY</t>
  </si>
  <si>
    <t>NATHALIE</t>
  </si>
  <si>
    <t>SAUCIER</t>
  </si>
  <si>
    <t>CLAUDE</t>
  </si>
  <si>
    <t>SUCAR</t>
  </si>
  <si>
    <t>TREMBLAY</t>
  </si>
  <si>
    <t>DENIS</t>
  </si>
  <si>
    <t>XAVIER</t>
  </si>
  <si>
    <t>NADIA</t>
  </si>
  <si>
    <t>BADGER</t>
  </si>
  <si>
    <t>DENISE</t>
  </si>
  <si>
    <t>A/P Representative</t>
  </si>
  <si>
    <t>BARENDREGT</t>
  </si>
  <si>
    <t>BARLOW</t>
  </si>
  <si>
    <t>BURLINGTON</t>
  </si>
  <si>
    <t>A/P Overhead Representative</t>
  </si>
  <si>
    <t>BUTTLE</t>
  </si>
  <si>
    <t>JUDITH</t>
  </si>
  <si>
    <t>Senior A/P Representative</t>
  </si>
  <si>
    <t>CLENDENING</t>
  </si>
  <si>
    <t>A/P Manager</t>
  </si>
  <si>
    <t>CATHY</t>
  </si>
  <si>
    <t>DOORNEKAMP</t>
  </si>
  <si>
    <t>MELANIE</t>
  </si>
  <si>
    <t>A/P Support</t>
  </si>
  <si>
    <t>FOKKENS</t>
  </si>
  <si>
    <t>CATHARINE</t>
  </si>
  <si>
    <t>FRAYNE</t>
  </si>
  <si>
    <t>THOMAS</t>
  </si>
  <si>
    <t>GENZER</t>
  </si>
  <si>
    <t>GILLIER</t>
  </si>
  <si>
    <t>HARVEY</t>
  </si>
  <si>
    <t>TRUDY</t>
  </si>
  <si>
    <t>A/P Overhead Supervisor</t>
  </si>
  <si>
    <t>HODGKINS</t>
  </si>
  <si>
    <t>KNIFFEN</t>
  </si>
  <si>
    <t>PAMELA</t>
  </si>
  <si>
    <t>LALANDE</t>
  </si>
  <si>
    <t>LEFAIVE</t>
  </si>
  <si>
    <t>LAWRENCE PATRICK</t>
  </si>
  <si>
    <t>LITTLETON</t>
  </si>
  <si>
    <t>VICTORIA</t>
  </si>
  <si>
    <t>A/P Data Entry Support</t>
  </si>
  <si>
    <t>LOWDON</t>
  </si>
  <si>
    <t>BARBARA</t>
  </si>
  <si>
    <t>MERPAW</t>
  </si>
  <si>
    <t>A/P Supervisor</t>
  </si>
  <si>
    <t>NEWMAN</t>
  </si>
  <si>
    <t>TRACEY</t>
  </si>
  <si>
    <t>SALIWONCZYK</t>
  </si>
  <si>
    <t>SOMMA</t>
  </si>
  <si>
    <t>LORA</t>
  </si>
  <si>
    <t>WANG</t>
  </si>
  <si>
    <t>QIANG</t>
  </si>
  <si>
    <t>WEEKS</t>
  </si>
  <si>
    <t>AUBIN.</t>
  </si>
  <si>
    <t>SUZANNE</t>
  </si>
  <si>
    <t>BAUM</t>
  </si>
  <si>
    <t>MELISSA</t>
  </si>
  <si>
    <t>BEDARD</t>
  </si>
  <si>
    <t>TAMARA</t>
  </si>
  <si>
    <t>KATHY</t>
  </si>
  <si>
    <t>Senior Equipment A/R Representative</t>
  </si>
  <si>
    <t>GOERTZEN</t>
  </si>
  <si>
    <t>A/R Collector</t>
  </si>
  <si>
    <t>GOODWIN</t>
  </si>
  <si>
    <t>SCOTT</t>
  </si>
  <si>
    <t>A/R Supervisor</t>
  </si>
  <si>
    <t>HAINES</t>
  </si>
  <si>
    <t>JEFFERY</t>
  </si>
  <si>
    <t>HOPE</t>
  </si>
  <si>
    <t>LOPRESTI</t>
  </si>
  <si>
    <t>LISA</t>
  </si>
  <si>
    <t>LUMARQUE</t>
  </si>
  <si>
    <t>CHRISTIAN</t>
  </si>
  <si>
    <t>MCDONALD</t>
  </si>
  <si>
    <t>DARLENE</t>
  </si>
  <si>
    <t>A/R Manager</t>
  </si>
  <si>
    <t>NOEL</t>
  </si>
  <si>
    <t>LINDY</t>
  </si>
  <si>
    <t>DANIELLE</t>
  </si>
  <si>
    <t>LEANNE</t>
  </si>
  <si>
    <t>SWEET</t>
  </si>
  <si>
    <t>TAVCAR</t>
  </si>
  <si>
    <t>A/R Equipment Representative</t>
  </si>
  <si>
    <t>VIRGOE</t>
  </si>
  <si>
    <t>HELEN</t>
  </si>
  <si>
    <t>WILKINSON</t>
  </si>
  <si>
    <t>WITLOX</t>
  </si>
  <si>
    <t>ANNA</t>
  </si>
  <si>
    <t>ZANCOLA</t>
  </si>
  <si>
    <t>Supervisor, Equipment A/R</t>
  </si>
  <si>
    <t>ZUTT</t>
  </si>
  <si>
    <t>CAROLE</t>
  </si>
  <si>
    <t>Customer Service Gatekeeper/Customer Satisfaction Analyst</t>
  </si>
  <si>
    <t>Customer Service Support/Gatekeeper</t>
  </si>
  <si>
    <t>KRYSTYNA</t>
  </si>
  <si>
    <t>MONTREUIL</t>
  </si>
  <si>
    <t>PUCKETT</t>
  </si>
  <si>
    <t>ROBYN</t>
  </si>
  <si>
    <t>SONNENBERG</t>
  </si>
  <si>
    <t>LOUISE</t>
  </si>
  <si>
    <t>LURYE</t>
  </si>
  <si>
    <t>REGINA</t>
  </si>
  <si>
    <t>NIA</t>
  </si>
  <si>
    <t>MATTHEWS</t>
  </si>
  <si>
    <t>Equipment A/R Representative</t>
  </si>
  <si>
    <t>SCHNERCH</t>
  </si>
  <si>
    <t>Senior Credit &amp; Collections Representative</t>
  </si>
  <si>
    <t>JUAN</t>
  </si>
  <si>
    <t>GAIERO</t>
  </si>
  <si>
    <t>Commissions Manager</t>
  </si>
  <si>
    <t>HONG</t>
  </si>
  <si>
    <t>XINXIN (LINDA)</t>
  </si>
  <si>
    <t>Financial Budget Analyst</t>
  </si>
  <si>
    <t>KRUJA</t>
  </si>
  <si>
    <t>RENATA</t>
  </si>
  <si>
    <t>MCCABE</t>
  </si>
  <si>
    <t>SHEN</t>
  </si>
  <si>
    <t>QI (MICHELLE)</t>
  </si>
  <si>
    <t>ADKINSON</t>
  </si>
  <si>
    <t>Controller</t>
  </si>
  <si>
    <t>ARSENEAU</t>
  </si>
  <si>
    <t>SYLVIE</t>
  </si>
  <si>
    <t>Accountant</t>
  </si>
  <si>
    <t>BORLAND</t>
  </si>
  <si>
    <t>VP Finance</t>
  </si>
  <si>
    <t>CHHABRIA</t>
  </si>
  <si>
    <t>RAJESH</t>
  </si>
  <si>
    <t>DUCZMAL</t>
  </si>
  <si>
    <t>CHRISTINA</t>
  </si>
  <si>
    <t>Sarbanes-Oxley Administrator</t>
  </si>
  <si>
    <t>GASIOREK</t>
  </si>
  <si>
    <t>GARY</t>
  </si>
  <si>
    <t>Financial Reporting Manager</t>
  </si>
  <si>
    <t>HOLLARD</t>
  </si>
  <si>
    <t>DOUG</t>
  </si>
  <si>
    <t>Intermediate Accountant</t>
  </si>
  <si>
    <t>KALUGINA</t>
  </si>
  <si>
    <t>ZOYA</t>
  </si>
  <si>
    <t>ROBERTS</t>
  </si>
  <si>
    <t>DOMINIC</t>
  </si>
  <si>
    <t>SPRY</t>
  </si>
  <si>
    <t>BETTY</t>
  </si>
  <si>
    <t>Accounting Specialist</t>
  </si>
  <si>
    <t>TOMAS</t>
  </si>
  <si>
    <t>HEIDI</t>
  </si>
  <si>
    <t>Vendor Credits Coordinator</t>
  </si>
  <si>
    <t>ASH</t>
  </si>
  <si>
    <t>GLORIA</t>
  </si>
  <si>
    <t>Payroll Coordinator</t>
  </si>
  <si>
    <t>KITNEY</t>
  </si>
  <si>
    <t>Payroll Manager</t>
  </si>
  <si>
    <t>SCERVINO</t>
  </si>
  <si>
    <t>ANGELA</t>
  </si>
  <si>
    <t>Payroll/HR Representative</t>
  </si>
  <si>
    <t>CAIRNS</t>
  </si>
  <si>
    <t>Financial Inventory Manager</t>
  </si>
  <si>
    <t>CAMPBELL</t>
  </si>
  <si>
    <t>CHAD</t>
  </si>
  <si>
    <t>Financial Inventory Specialist</t>
  </si>
  <si>
    <t>PERNA</t>
  </si>
  <si>
    <t>SCHORMANN</t>
  </si>
  <si>
    <t>Financial Inventory Analyst</t>
  </si>
  <si>
    <t>ANSELL</t>
  </si>
  <si>
    <t>KIMBERLY</t>
  </si>
  <si>
    <t>Programmer/Analyst</t>
  </si>
  <si>
    <t>MARC</t>
  </si>
  <si>
    <t>Business Systems Supervisor</t>
  </si>
  <si>
    <t>FARIS</t>
  </si>
  <si>
    <t>GERMAIN</t>
  </si>
  <si>
    <t>DEMIAN</t>
  </si>
  <si>
    <t>Technical Support Supervisor</t>
  </si>
  <si>
    <t>JEDDI</t>
  </si>
  <si>
    <t>ZABIULLAH</t>
  </si>
  <si>
    <t>NINA</t>
  </si>
  <si>
    <t>MCDONNELL</t>
  </si>
  <si>
    <t>Technical Support Specialist</t>
  </si>
  <si>
    <t>PELLETIER</t>
  </si>
  <si>
    <t>Technical Support Technician</t>
  </si>
  <si>
    <t>SCOBIE</t>
  </si>
  <si>
    <t>GREG</t>
  </si>
  <si>
    <t>Project Lead</t>
  </si>
  <si>
    <t>STAUFFER</t>
  </si>
  <si>
    <t>JASON</t>
  </si>
  <si>
    <t>Senior Technical Support Specialist</t>
  </si>
  <si>
    <t>VU</t>
  </si>
  <si>
    <t>MORRIS</t>
  </si>
  <si>
    <t>JILLIAN</t>
  </si>
  <si>
    <t>Project Specialist - NEO</t>
  </si>
  <si>
    <t>ABRAHIM</t>
  </si>
  <si>
    <t>FAMIDA</t>
  </si>
  <si>
    <t>Executive Assistant</t>
  </si>
  <si>
    <t>ADAIR</t>
  </si>
  <si>
    <t>CARMAN</t>
  </si>
  <si>
    <t>Executive Consultant</t>
  </si>
  <si>
    <t>ELBORNE</t>
  </si>
  <si>
    <t>CYRIL</t>
  </si>
  <si>
    <t>President</t>
  </si>
  <si>
    <t>JUGOON</t>
  </si>
  <si>
    <t>MCSHEFFREY</t>
  </si>
  <si>
    <t>MELNYCHENKO</t>
  </si>
  <si>
    <t>OLA</t>
  </si>
  <si>
    <t>ROBERTSON</t>
  </si>
  <si>
    <t>Chairman</t>
  </si>
  <si>
    <t>STRUM</t>
  </si>
  <si>
    <t>Exec Asst &amp; Legal Admin</t>
  </si>
  <si>
    <t>WATSON</t>
  </si>
  <si>
    <t>GLEN</t>
  </si>
  <si>
    <t>Vice President &amp; Chief Financial Officer</t>
  </si>
  <si>
    <t>ALMASI</t>
  </si>
  <si>
    <t>CAPLAN</t>
  </si>
  <si>
    <t>Labnet</t>
  </si>
  <si>
    <t>GOODFELLOW</t>
  </si>
  <si>
    <t>JANE</t>
  </si>
  <si>
    <t>Halifax</t>
  </si>
  <si>
    <t>LANGILLE</t>
  </si>
  <si>
    <t>NOVAK</t>
  </si>
  <si>
    <t>JEREMY</t>
  </si>
  <si>
    <t>CROWLEY</t>
  </si>
  <si>
    <t>TREVOR</t>
  </si>
  <si>
    <t>Manager of Business Reporting</t>
  </si>
  <si>
    <t>Business Reporting Analyst</t>
  </si>
  <si>
    <t>NG</t>
  </si>
  <si>
    <t>JOYCE</t>
  </si>
  <si>
    <t>WINSLOW</t>
  </si>
  <si>
    <t>PHILIE</t>
  </si>
  <si>
    <t>ALFAIA</t>
  </si>
  <si>
    <t>FSC</t>
  </si>
  <si>
    <t>Victoria</t>
  </si>
  <si>
    <t>GARD</t>
  </si>
  <si>
    <t>SCHWAM</t>
  </si>
  <si>
    <t>GEORGE</t>
  </si>
  <si>
    <t>TURKO</t>
  </si>
  <si>
    <t>GLENN</t>
  </si>
  <si>
    <t>Field Branch Manager</t>
  </si>
  <si>
    <t>VOLK</t>
  </si>
  <si>
    <t>ROBIN</t>
  </si>
  <si>
    <t>BEVAN</t>
  </si>
  <si>
    <t>RALPH</t>
  </si>
  <si>
    <t>MONIQUE</t>
  </si>
  <si>
    <t>GOOSSEN</t>
  </si>
  <si>
    <t>VICTOR</t>
  </si>
  <si>
    <t>HOKANSON</t>
  </si>
  <si>
    <t>BLAIR</t>
  </si>
  <si>
    <t>KOWALISHYN</t>
  </si>
  <si>
    <t>FRANK</t>
  </si>
  <si>
    <t>LAING</t>
  </si>
  <si>
    <t>LOBOZAR</t>
  </si>
  <si>
    <t>RODNEY</t>
  </si>
  <si>
    <t>MARKOVICH</t>
  </si>
  <si>
    <t>TRACY</t>
  </si>
  <si>
    <t>PARK</t>
  </si>
  <si>
    <t>PECYNA</t>
  </si>
  <si>
    <t>DEREK</t>
  </si>
  <si>
    <t>PERRY</t>
  </si>
  <si>
    <t>MARLENE</t>
  </si>
  <si>
    <t>PLENERT</t>
  </si>
  <si>
    <t>JENNA</t>
  </si>
  <si>
    <t>SCHWINGBOTH</t>
  </si>
  <si>
    <t>HORST</t>
  </si>
  <si>
    <t>TRASK</t>
  </si>
  <si>
    <t>SUSAN</t>
  </si>
  <si>
    <t>WEIR</t>
  </si>
  <si>
    <t>WILLOX</t>
  </si>
  <si>
    <t>LYNNE</t>
  </si>
  <si>
    <t>ATMORE</t>
  </si>
  <si>
    <t>BOUVIER</t>
  </si>
  <si>
    <t>CAROLINE</t>
  </si>
  <si>
    <t>FRANSEN</t>
  </si>
  <si>
    <t>FREDSBERG</t>
  </si>
  <si>
    <t>BEVERLY</t>
  </si>
  <si>
    <t>GOERGEN</t>
  </si>
  <si>
    <t>KORNHAUZER</t>
  </si>
  <si>
    <t>BRONKO</t>
  </si>
  <si>
    <t>ERROL GUY</t>
  </si>
  <si>
    <t>PIERCY</t>
  </si>
  <si>
    <t>POLLARD</t>
  </si>
  <si>
    <t>DEAN</t>
  </si>
  <si>
    <t>Branch Manager</t>
  </si>
  <si>
    <t>SCHERMERHORN</t>
  </si>
  <si>
    <t>SIMPSON</t>
  </si>
  <si>
    <t>SKOCDOPOLE</t>
  </si>
  <si>
    <t>KIRSTEN</t>
  </si>
  <si>
    <t>DENNIS</t>
  </si>
  <si>
    <t>FOLK</t>
  </si>
  <si>
    <t>ANGIE</t>
  </si>
  <si>
    <t>FSC - Lab</t>
  </si>
  <si>
    <t>FORSTER</t>
  </si>
  <si>
    <t>JULIAN</t>
  </si>
  <si>
    <t>IVANY</t>
  </si>
  <si>
    <t>KRANJCEVIC</t>
  </si>
  <si>
    <t>TONY</t>
  </si>
  <si>
    <t>MASCARENHAS</t>
  </si>
  <si>
    <t>NICK</t>
  </si>
  <si>
    <t>FSC - HSPS</t>
  </si>
  <si>
    <t>MAVES</t>
  </si>
  <si>
    <t>MCMURDO</t>
  </si>
  <si>
    <t>HUGH</t>
  </si>
  <si>
    <t>JAMIE</t>
  </si>
  <si>
    <t>PEPPER</t>
  </si>
  <si>
    <t>KATHERINE</t>
  </si>
  <si>
    <t>POCH</t>
  </si>
  <si>
    <t>RONALD</t>
  </si>
  <si>
    <t>SCHMIDT</t>
  </si>
  <si>
    <t>AUDREY</t>
  </si>
  <si>
    <t>SHOSTAK</t>
  </si>
  <si>
    <t>KRISTA</t>
  </si>
  <si>
    <t>VANDERHAM</t>
  </si>
  <si>
    <t>WOLOVICK</t>
  </si>
  <si>
    <t>BARRY</t>
  </si>
  <si>
    <t>BOBINSKI</t>
  </si>
  <si>
    <t>Regina</t>
  </si>
  <si>
    <t>MARCIA</t>
  </si>
  <si>
    <t>RONYK</t>
  </si>
  <si>
    <t>TWYLA</t>
  </si>
  <si>
    <t>FSC - Medical</t>
  </si>
  <si>
    <t>HENRY</t>
  </si>
  <si>
    <t>JOHNSON</t>
  </si>
  <si>
    <t>LAMONT</t>
  </si>
  <si>
    <t>ELENA</t>
  </si>
  <si>
    <t>MARSH</t>
  </si>
  <si>
    <t>OPP</t>
  </si>
  <si>
    <t>LEROY</t>
  </si>
  <si>
    <t>WIENS</t>
  </si>
  <si>
    <t>National Medical Manager</t>
  </si>
  <si>
    <t>YU</t>
  </si>
  <si>
    <t>KIT YEE</t>
  </si>
  <si>
    <t>Category Specialist</t>
  </si>
  <si>
    <t>AIELLO</t>
  </si>
  <si>
    <t>Winnipeg</t>
  </si>
  <si>
    <t>CHOMUT</t>
  </si>
  <si>
    <t>FRANKLIN</t>
  </si>
  <si>
    <t>WAYNE</t>
  </si>
  <si>
    <t>HOLOD</t>
  </si>
  <si>
    <t>GEOFF</t>
  </si>
  <si>
    <t>ROGERS</t>
  </si>
  <si>
    <t>TERROL</t>
  </si>
  <si>
    <t>FSC/EST</t>
  </si>
  <si>
    <t>SYLVESTER</t>
  </si>
  <si>
    <t>WHITE</t>
  </si>
  <si>
    <t>AARTS</t>
  </si>
  <si>
    <t>SHANNON</t>
  </si>
  <si>
    <t>London</t>
  </si>
  <si>
    <t>BERNAT</t>
  </si>
  <si>
    <t>CARL</t>
  </si>
  <si>
    <t>DIEHL</t>
  </si>
  <si>
    <t>GOOSSENS</t>
  </si>
  <si>
    <t>JUKNA</t>
  </si>
  <si>
    <t>KELLEDJIAN</t>
  </si>
  <si>
    <t>HOVAKIM</t>
  </si>
  <si>
    <t>KRAUS</t>
  </si>
  <si>
    <t>DEANNA</t>
  </si>
  <si>
    <t>MCKINNON</t>
  </si>
  <si>
    <t>MENARD</t>
  </si>
  <si>
    <t>MUNDEN</t>
  </si>
  <si>
    <t>ADAMS</t>
  </si>
  <si>
    <t>TREENA</t>
  </si>
  <si>
    <t>ADAMSKI</t>
  </si>
  <si>
    <t>CHRISTY</t>
  </si>
  <si>
    <t>Field Sales Manager</t>
  </si>
  <si>
    <t>BARRADAS</t>
  </si>
  <si>
    <t>BAXTER</t>
  </si>
  <si>
    <t>BLACK</t>
  </si>
  <si>
    <t>BODURIS</t>
  </si>
  <si>
    <t>LUCY</t>
  </si>
  <si>
    <t>BRISEBOIS</t>
  </si>
  <si>
    <t>CHARLOTTE</t>
  </si>
  <si>
    <t>BROHMAN</t>
  </si>
  <si>
    <t>GRACE</t>
  </si>
  <si>
    <t>Sales Manager</t>
  </si>
  <si>
    <t>CAISE</t>
  </si>
  <si>
    <t>CHRETIEN</t>
  </si>
  <si>
    <t>MONICA</t>
  </si>
  <si>
    <t>CLAIR</t>
  </si>
  <si>
    <t>BRETT</t>
  </si>
  <si>
    <t>EDWARD</t>
  </si>
  <si>
    <t>CLARK</t>
  </si>
  <si>
    <t>TERRY</t>
  </si>
  <si>
    <t>CLUMPUS</t>
  </si>
  <si>
    <t>COLEGATE</t>
  </si>
  <si>
    <t>JOY</t>
  </si>
  <si>
    <t>COMARTIN</t>
  </si>
  <si>
    <t>COULOMBE</t>
  </si>
  <si>
    <t>KELVIN</t>
  </si>
  <si>
    <t>DEELEY</t>
  </si>
  <si>
    <t>DYNES</t>
  </si>
  <si>
    <t>CHRIS</t>
  </si>
  <si>
    <t>GOODALL</t>
  </si>
  <si>
    <t>BLAKE</t>
  </si>
  <si>
    <t>HARRISSON</t>
  </si>
  <si>
    <t>HOGARTH</t>
  </si>
  <si>
    <t>LIANNE</t>
  </si>
  <si>
    <t>JARDINE</t>
  </si>
  <si>
    <t>RACHEL</t>
  </si>
  <si>
    <t>JOBLING</t>
  </si>
  <si>
    <t>KEMP-LIPNICKY</t>
  </si>
  <si>
    <t>LIZABETH</t>
  </si>
  <si>
    <t>KRAVITZ</t>
  </si>
  <si>
    <t>LESLIE</t>
  </si>
  <si>
    <t>LEE</t>
  </si>
  <si>
    <t>MCCALLUM</t>
  </si>
  <si>
    <t>MCCHESNEY</t>
  </si>
  <si>
    <t>DIANE</t>
  </si>
  <si>
    <t>MCTAVISH</t>
  </si>
  <si>
    <t>FRASER</t>
  </si>
  <si>
    <t>NEIL</t>
  </si>
  <si>
    <t>SHIRLEY</t>
  </si>
  <si>
    <t>NAYLOR</t>
  </si>
  <si>
    <t>DALE</t>
  </si>
  <si>
    <t>JANET</t>
  </si>
  <si>
    <t>OUTRI</t>
  </si>
  <si>
    <t>WASIM</t>
  </si>
  <si>
    <t>PLATT</t>
  </si>
  <si>
    <t>REID</t>
  </si>
  <si>
    <t>RICHARDS</t>
  </si>
  <si>
    <t>WESTON</t>
  </si>
  <si>
    <t>RILEY</t>
  </si>
  <si>
    <t>RISI</t>
  </si>
  <si>
    <t>EDDIE</t>
  </si>
  <si>
    <t>SALE</t>
  </si>
  <si>
    <t>CORINNE</t>
  </si>
  <si>
    <t>SVIRK</t>
  </si>
  <si>
    <t>TAYLOR</t>
  </si>
  <si>
    <t>TERBENCHE</t>
  </si>
  <si>
    <t>VARELA</t>
  </si>
  <si>
    <t>FERNANDO</t>
  </si>
  <si>
    <t>WAINWRIGHT</t>
  </si>
  <si>
    <t>GILDA</t>
  </si>
  <si>
    <t>WALLACE</t>
  </si>
  <si>
    <t>WALSH</t>
  </si>
  <si>
    <t>WEAVER</t>
  </si>
  <si>
    <t>JUSTIN</t>
  </si>
  <si>
    <t>WISTOSKI</t>
  </si>
  <si>
    <t>Ottawa</t>
  </si>
  <si>
    <t>DWARKA</t>
  </si>
  <si>
    <t>JIVAN</t>
  </si>
  <si>
    <t>FOISY</t>
  </si>
  <si>
    <t>LEO</t>
  </si>
  <si>
    <t>GALLOWAY</t>
  </si>
  <si>
    <t>GOULD</t>
  </si>
  <si>
    <t>OGRODNICK</t>
  </si>
  <si>
    <t>PAIGE</t>
  </si>
  <si>
    <t>SCHROETER</t>
  </si>
  <si>
    <t>TARIO</t>
  </si>
  <si>
    <t>WILLIAMS</t>
  </si>
  <si>
    <t>BARRY G.</t>
  </si>
  <si>
    <t>CHILIBECK</t>
  </si>
  <si>
    <t>FSC &amp; HSFS Specialist</t>
  </si>
  <si>
    <t>HAYES</t>
  </si>
  <si>
    <t>HENNESSEY</t>
  </si>
  <si>
    <t>TIM</t>
  </si>
  <si>
    <t>MCHUGH</t>
  </si>
  <si>
    <t>TERRANCE</t>
  </si>
  <si>
    <t>SAMPSON</t>
  </si>
  <si>
    <t>SHAUN</t>
  </si>
  <si>
    <t>TINGLEY</t>
  </si>
  <si>
    <t>LORNE</t>
  </si>
  <si>
    <t>WARD</t>
  </si>
  <si>
    <t>IAN</t>
  </si>
  <si>
    <t>Saint John NB</t>
  </si>
  <si>
    <t>KEVIN</t>
  </si>
  <si>
    <t>STEVENS</t>
  </si>
  <si>
    <t>BARBE</t>
  </si>
  <si>
    <t>STEPHANIE</t>
  </si>
  <si>
    <t>JOCELYN</t>
  </si>
  <si>
    <t>BRUNELLE</t>
  </si>
  <si>
    <t>CHARBONNEAU</t>
  </si>
  <si>
    <t>PIERRE-LUC</t>
  </si>
  <si>
    <t>CHARRON</t>
  </si>
  <si>
    <t>MARIE-FRANCE</t>
  </si>
  <si>
    <t>CREVIER</t>
  </si>
  <si>
    <t>JACQUES</t>
  </si>
  <si>
    <t>DAHAN</t>
  </si>
  <si>
    <t>DUGUAY</t>
  </si>
  <si>
    <t>MARIO</t>
  </si>
  <si>
    <t>Zone Product Specialist</t>
  </si>
  <si>
    <t>SEBASTIEN</t>
  </si>
  <si>
    <t>GOULET</t>
  </si>
  <si>
    <t>HOLLAND</t>
  </si>
  <si>
    <t>SALLY</t>
  </si>
  <si>
    <t>LANDRY</t>
  </si>
  <si>
    <t>SONIA</t>
  </si>
  <si>
    <t>LAROCHELLE</t>
  </si>
  <si>
    <t>GHISLAIN</t>
  </si>
  <si>
    <t>LATOUR</t>
  </si>
  <si>
    <t>LITTNER</t>
  </si>
  <si>
    <t>MILETTE</t>
  </si>
  <si>
    <t>OUIMET</t>
  </si>
  <si>
    <t>MANON</t>
  </si>
  <si>
    <t>PICARD</t>
  </si>
  <si>
    <t>ALAIN</t>
  </si>
  <si>
    <t>PIERREHUMBERT</t>
  </si>
  <si>
    <t>DOMINIQUE</t>
  </si>
  <si>
    <t>PINET</t>
  </si>
  <si>
    <t>MARTINE</t>
  </si>
  <si>
    <t>PINHEIRO</t>
  </si>
  <si>
    <t>ELISABETE</t>
  </si>
  <si>
    <t>SAMSON</t>
  </si>
  <si>
    <t>JEAN-JACQUES</t>
  </si>
  <si>
    <t>SAVOIE</t>
  </si>
  <si>
    <t>SEGUIN</t>
  </si>
  <si>
    <t>MICHELE</t>
  </si>
  <si>
    <t>SHEDID</t>
  </si>
  <si>
    <t>CHIMENE</t>
  </si>
  <si>
    <t>SIMARD</t>
  </si>
  <si>
    <t>VACCARO</t>
  </si>
  <si>
    <t>VROUVIDES</t>
  </si>
  <si>
    <t>BIGAOUETTE</t>
  </si>
  <si>
    <t>CUSSON</t>
  </si>
  <si>
    <t>VERONIQUE</t>
  </si>
  <si>
    <t>DUCHESNEAU</t>
  </si>
  <si>
    <t>LUC</t>
  </si>
  <si>
    <t>KLASSEN</t>
  </si>
  <si>
    <t>LYONNAIS</t>
  </si>
  <si>
    <t>JOSEE</t>
  </si>
  <si>
    <t>OUELLET</t>
  </si>
  <si>
    <t>PROULX</t>
  </si>
  <si>
    <t>ANDREE-CHANTALE</t>
  </si>
  <si>
    <t>TURGEON</t>
  </si>
  <si>
    <t>MARYSE</t>
  </si>
  <si>
    <t>VALLIERES</t>
  </si>
  <si>
    <t>CARMICHAEL</t>
  </si>
  <si>
    <t>JEAN-FRANCOIS</t>
  </si>
  <si>
    <t>Regional Implant Specialist</t>
  </si>
  <si>
    <t>FREDERIC</t>
  </si>
  <si>
    <t>SARRASIN</t>
  </si>
  <si>
    <t>STEVE</t>
  </si>
  <si>
    <t>Zone GM Midwest</t>
  </si>
  <si>
    <t>GAUDES</t>
  </si>
  <si>
    <t>Zone General Manager</t>
  </si>
  <si>
    <t>WALSWORTH</t>
  </si>
  <si>
    <t>FIONA</t>
  </si>
  <si>
    <t>Operations Manager</t>
  </si>
  <si>
    <t>ANSTEY</t>
  </si>
  <si>
    <t>BRYSON</t>
  </si>
  <si>
    <t>FLOWERS</t>
  </si>
  <si>
    <t>VALARIE</t>
  </si>
  <si>
    <t>LEEANNE</t>
  </si>
  <si>
    <t>LAPSHINOFF</t>
  </si>
  <si>
    <t>DIANA-LEE</t>
  </si>
  <si>
    <t>CSR Teeth</t>
  </si>
  <si>
    <t>CHERFAN</t>
  </si>
  <si>
    <t>SHAUNA</t>
  </si>
  <si>
    <t>Equipment Coordinator</t>
  </si>
  <si>
    <t>MORGAN</t>
  </si>
  <si>
    <t>DOREEN</t>
  </si>
  <si>
    <t>CLAUDETTE</t>
  </si>
  <si>
    <t>SCHREINER</t>
  </si>
  <si>
    <t>BERNARD</t>
  </si>
  <si>
    <t>DC Support/Service Support</t>
  </si>
  <si>
    <t>SOSNOV</t>
  </si>
  <si>
    <t>EUGENE</t>
  </si>
  <si>
    <t>ALPEN</t>
  </si>
  <si>
    <t>Shipper/Receiver</t>
  </si>
  <si>
    <t>CHAFE</t>
  </si>
  <si>
    <t>CHRISTENSEN</t>
  </si>
  <si>
    <t>COWLEY</t>
  </si>
  <si>
    <t>KRISTOPHER</t>
  </si>
  <si>
    <t>Warehouse Clerk</t>
  </si>
  <si>
    <t>FULAWKA</t>
  </si>
  <si>
    <t>DANELLE</t>
  </si>
  <si>
    <t>KANYO</t>
  </si>
  <si>
    <t>PRISCILLA</t>
  </si>
  <si>
    <t>LAFONTAINE</t>
  </si>
  <si>
    <t>MULLER</t>
  </si>
  <si>
    <t>PERRATT</t>
  </si>
  <si>
    <t>JODENE</t>
  </si>
  <si>
    <t>POPESCU</t>
  </si>
  <si>
    <t>DOROTHY</t>
  </si>
  <si>
    <t>WILLIAM</t>
  </si>
  <si>
    <t>LIN</t>
  </si>
  <si>
    <t>WOITAS</t>
  </si>
  <si>
    <t>AGNEW</t>
  </si>
  <si>
    <t>BARNES</t>
  </si>
  <si>
    <t>NIGEL</t>
  </si>
  <si>
    <t>CAINES</t>
  </si>
  <si>
    <t>Equipment Coordinator Supervisor</t>
  </si>
  <si>
    <t>COYLE</t>
  </si>
  <si>
    <t>ERIN</t>
  </si>
  <si>
    <t>KAYTOR</t>
  </si>
  <si>
    <t>LOEWEN</t>
  </si>
  <si>
    <t>LOWRIE</t>
  </si>
  <si>
    <t>MILLER</t>
  </si>
  <si>
    <t>MARALEE</t>
  </si>
  <si>
    <t>PHI</t>
  </si>
  <si>
    <t>MINH</t>
  </si>
  <si>
    <t>PRIESTLEY</t>
  </si>
  <si>
    <t>SHEILA</t>
  </si>
  <si>
    <t>NIKKI</t>
  </si>
  <si>
    <t>WASHBURN</t>
  </si>
  <si>
    <t>ANN</t>
  </si>
  <si>
    <t>WONG</t>
  </si>
  <si>
    <t>WRIGHT</t>
  </si>
  <si>
    <t>DAWN</t>
  </si>
  <si>
    <t>YOON</t>
  </si>
  <si>
    <t>BETESTA</t>
  </si>
  <si>
    <t>GOLDING</t>
  </si>
  <si>
    <t>KERRY</t>
  </si>
  <si>
    <t>Service Coordinator/Shipper Receiver</t>
  </si>
  <si>
    <t>LESAGE</t>
  </si>
  <si>
    <t>PENNER</t>
  </si>
  <si>
    <t>PUDGEON</t>
  </si>
  <si>
    <t>SHELDON</t>
  </si>
  <si>
    <t>CAPIZZANO</t>
  </si>
  <si>
    <t>MIKE</t>
  </si>
  <si>
    <t>CHIMENTI</t>
  </si>
  <si>
    <t>CUMMING</t>
  </si>
  <si>
    <t>HAZEL</t>
  </si>
  <si>
    <t>HOLDEN</t>
  </si>
  <si>
    <t>NORA</t>
  </si>
  <si>
    <t>CSR Supervisor/Equipment Coordinator</t>
  </si>
  <si>
    <t>JANSEN</t>
  </si>
  <si>
    <t>TWEEDIE</t>
  </si>
  <si>
    <t>ACEVEDO</t>
  </si>
  <si>
    <t>BALAZS</t>
  </si>
  <si>
    <t>CORNELIA</t>
  </si>
  <si>
    <t>BIRMINGHAM</t>
  </si>
  <si>
    <t>DC Support Driver</t>
  </si>
  <si>
    <t>BORKOWSKI</t>
  </si>
  <si>
    <t>Equipment Manager</t>
  </si>
  <si>
    <t>CARROLL</t>
  </si>
  <si>
    <t>Hi-Tech Product Trainer &amp; Support</t>
  </si>
  <si>
    <t>CHAVEZ</t>
  </si>
  <si>
    <t>MITZELLE</t>
  </si>
  <si>
    <t>CLINT</t>
  </si>
  <si>
    <t>Receptionist</t>
  </si>
  <si>
    <t>COOK</t>
  </si>
  <si>
    <t>DEFRANCESCA</t>
  </si>
  <si>
    <t>DE'GOLDER</t>
  </si>
  <si>
    <t>RATAN</t>
  </si>
  <si>
    <t>ELTANAL</t>
  </si>
  <si>
    <t>EDMUNDO</t>
  </si>
  <si>
    <t>FOX</t>
  </si>
  <si>
    <t>GILLIS</t>
  </si>
  <si>
    <t>GRABOWSKI</t>
  </si>
  <si>
    <t>HAMILTON</t>
  </si>
  <si>
    <t>ALISON</t>
  </si>
  <si>
    <t>HUSSEY</t>
  </si>
  <si>
    <t>Technical Service and Support Mgr</t>
  </si>
  <si>
    <t>NEELOFAR</t>
  </si>
  <si>
    <t>KLIGMAN</t>
  </si>
  <si>
    <t>HOWARD</t>
  </si>
  <si>
    <t>MAIQUEZ</t>
  </si>
  <si>
    <t>JIMMY</t>
  </si>
  <si>
    <t>MARTINEAU</t>
  </si>
  <si>
    <t>MARZOUK</t>
  </si>
  <si>
    <t>Administrative Assistant</t>
  </si>
  <si>
    <t>MILLADO</t>
  </si>
  <si>
    <t>MILLETTE</t>
  </si>
  <si>
    <t>TIMOTHY</t>
  </si>
  <si>
    <t>O'CONNOR</t>
  </si>
  <si>
    <t>KATHLEEN</t>
  </si>
  <si>
    <t>PATAG</t>
  </si>
  <si>
    <t>MARTE</t>
  </si>
  <si>
    <t>PHAM</t>
  </si>
  <si>
    <t>NHAN</t>
  </si>
  <si>
    <t>PINEDA</t>
  </si>
  <si>
    <t>ESTRELITA</t>
  </si>
  <si>
    <t>RAFEEK</t>
  </si>
  <si>
    <t>SHALEMA</t>
  </si>
  <si>
    <t>RAMNARINE</t>
  </si>
  <si>
    <t>REMBALSKI</t>
  </si>
  <si>
    <t>HENRYK</t>
  </si>
  <si>
    <t>SINGH</t>
  </si>
  <si>
    <t>SHIVA</t>
  </si>
  <si>
    <t>BEACHAM</t>
  </si>
  <si>
    <t>DOUMA</t>
  </si>
  <si>
    <t>DORIS</t>
  </si>
  <si>
    <t>CSR/Operations Supervisor</t>
  </si>
  <si>
    <t>KENNEDY</t>
  </si>
  <si>
    <t>LECOMPTE</t>
  </si>
  <si>
    <t>GISELE</t>
  </si>
  <si>
    <t>MONCRIEFF</t>
  </si>
  <si>
    <t>Branch Administrator</t>
  </si>
  <si>
    <t>ALLAN</t>
  </si>
  <si>
    <t>GARTH</t>
  </si>
  <si>
    <t>Inventory Control Manager</t>
  </si>
  <si>
    <t>BILBROUGH</t>
  </si>
  <si>
    <t>CALNEN</t>
  </si>
  <si>
    <t>DAN</t>
  </si>
  <si>
    <t>CLUETT</t>
  </si>
  <si>
    <t>GALLIVAN</t>
  </si>
  <si>
    <t>CSR/BAS</t>
  </si>
  <si>
    <t>NORWICH</t>
  </si>
  <si>
    <t>STACEY</t>
  </si>
  <si>
    <t>PUTNAM</t>
  </si>
  <si>
    <t>DIXON</t>
  </si>
  <si>
    <t>JAMIESON</t>
  </si>
  <si>
    <t>BENT</t>
  </si>
  <si>
    <t>BERUBE</t>
  </si>
  <si>
    <t>MADELEINE</t>
  </si>
  <si>
    <t>BRAZEAU</t>
  </si>
  <si>
    <t>RENALD</t>
  </si>
  <si>
    <t>Inventory Control Support</t>
  </si>
  <si>
    <t>COLES</t>
  </si>
  <si>
    <t>Returns &amp; Credit Representative</t>
  </si>
  <si>
    <t>D'AMOUR</t>
  </si>
  <si>
    <t>MATHIEU</t>
  </si>
  <si>
    <t>ELEDUT</t>
  </si>
  <si>
    <t>GERALD</t>
  </si>
  <si>
    <t>Inventory Control Specialist</t>
  </si>
  <si>
    <t>GUY</t>
  </si>
  <si>
    <t>HARNOIS</t>
  </si>
  <si>
    <t>LADOUCEUR</t>
  </si>
  <si>
    <t>LAURIN</t>
  </si>
  <si>
    <t>FRANCINE</t>
  </si>
  <si>
    <t>LEFEBVRE</t>
  </si>
  <si>
    <t>RAYMOND</t>
  </si>
  <si>
    <t>ProRepair Service Support</t>
  </si>
  <si>
    <t>LEGROS</t>
  </si>
  <si>
    <t>LELIEVRE</t>
  </si>
  <si>
    <t>SYLVAIN</t>
  </si>
  <si>
    <t>PERREAULT</t>
  </si>
  <si>
    <t>P. DOREEN</t>
  </si>
  <si>
    <t>PERUSSE</t>
  </si>
  <si>
    <t>RENAUD</t>
  </si>
  <si>
    <t>SIROIS</t>
  </si>
  <si>
    <t>AUBERT</t>
  </si>
  <si>
    <t>VACHON</t>
  </si>
  <si>
    <t>MARIE-JULIE</t>
  </si>
  <si>
    <t>AUDET</t>
  </si>
  <si>
    <t>BETY</t>
  </si>
  <si>
    <t>CHIASSON</t>
  </si>
  <si>
    <t>ISABELLE</t>
  </si>
  <si>
    <t>DRAPEAU</t>
  </si>
  <si>
    <t>DUBE</t>
  </si>
  <si>
    <t>GILLES</t>
  </si>
  <si>
    <t>GAUVIN</t>
  </si>
  <si>
    <t>JOBIN</t>
  </si>
  <si>
    <t>MARANDA</t>
  </si>
  <si>
    <t>PRUNEAU</t>
  </si>
  <si>
    <t>SOPHIE</t>
  </si>
  <si>
    <t>ROBERGE</t>
  </si>
  <si>
    <t>LINE</t>
  </si>
  <si>
    <t>ROBITAILLE</t>
  </si>
  <si>
    <t>DAGHER</t>
  </si>
  <si>
    <t>MARSOLAIS</t>
  </si>
  <si>
    <t>TREPANIER</t>
  </si>
  <si>
    <t>Business Development Manager</t>
  </si>
  <si>
    <t>ATHOE</t>
  </si>
  <si>
    <t>CAPELLARI</t>
  </si>
  <si>
    <t>CHAMBERLAND</t>
  </si>
  <si>
    <t>Translator</t>
  </si>
  <si>
    <t>FILER</t>
  </si>
  <si>
    <t>Marketing Specialist, Programs</t>
  </si>
  <si>
    <t>HINES</t>
  </si>
  <si>
    <t>Graphic Designer</t>
  </si>
  <si>
    <t>HOLMES</t>
  </si>
  <si>
    <t>Marketing Specialist, E-Business</t>
  </si>
  <si>
    <t>KATSIOS</t>
  </si>
  <si>
    <t>THERESA</t>
  </si>
  <si>
    <t>Marketing Specialist</t>
  </si>
  <si>
    <t>LOVE</t>
  </si>
  <si>
    <t>Director, Advertising &amp; Programs</t>
  </si>
  <si>
    <t>MCLEAN</t>
  </si>
  <si>
    <t>Advertising Associate</t>
  </si>
  <si>
    <t>DAVE</t>
  </si>
  <si>
    <t>SALIBA</t>
  </si>
  <si>
    <t>Marketing Associate</t>
  </si>
  <si>
    <t>HEATHER</t>
  </si>
  <si>
    <t>STOLL</t>
  </si>
  <si>
    <t>TONEGUZZO</t>
  </si>
  <si>
    <t>YING</t>
  </si>
  <si>
    <t>WINGER</t>
  </si>
  <si>
    <t>BASHAR</t>
  </si>
  <si>
    <t>WASEEM</t>
  </si>
  <si>
    <t>GAINES</t>
  </si>
  <si>
    <t>Senior Graphic Artist</t>
  </si>
  <si>
    <t>GROUT</t>
  </si>
  <si>
    <t>Creative Services Manager</t>
  </si>
  <si>
    <t>Graphic Artist</t>
  </si>
  <si>
    <t>BARKER</t>
  </si>
  <si>
    <t>CHAMPAGNE</t>
  </si>
  <si>
    <t>MATTHEW</t>
  </si>
  <si>
    <t>Category Manager</t>
  </si>
  <si>
    <t>CZARNIAK</t>
  </si>
  <si>
    <t>MARIOLA</t>
  </si>
  <si>
    <t>Category Specialist, Dental Merchandising</t>
  </si>
  <si>
    <t>GILMOUR</t>
  </si>
  <si>
    <t>Marketing Assistant</t>
  </si>
  <si>
    <t>GOLLERT</t>
  </si>
  <si>
    <t>MARKS</t>
  </si>
  <si>
    <t>MORLOG</t>
  </si>
  <si>
    <t>ORLANDI</t>
  </si>
  <si>
    <t>Category Associate</t>
  </si>
  <si>
    <t>OWENS</t>
  </si>
  <si>
    <t>BRITTANY</t>
  </si>
  <si>
    <t>ATKINS</t>
  </si>
  <si>
    <t>SEANG</t>
  </si>
  <si>
    <t>Assistant Buyer</t>
  </si>
  <si>
    <t>SHELLEY</t>
  </si>
  <si>
    <t>BURNS</t>
  </si>
  <si>
    <t>JESSICA</t>
  </si>
  <si>
    <t>Data Management Clerk</t>
  </si>
  <si>
    <t>DINUNZIO</t>
  </si>
  <si>
    <t>CARLO</t>
  </si>
  <si>
    <t>Buyer</t>
  </si>
  <si>
    <t>DOLINAR</t>
  </si>
  <si>
    <t>ANTHONY</t>
  </si>
  <si>
    <t>Inventory Assessment Specialist</t>
  </si>
  <si>
    <t>DOUCET</t>
  </si>
  <si>
    <t>JANA</t>
  </si>
  <si>
    <t>Transportation Analyst</t>
  </si>
  <si>
    <t>FRANZESE</t>
  </si>
  <si>
    <t>SARAH-JANE</t>
  </si>
  <si>
    <t>GERVAIS</t>
  </si>
  <si>
    <t>GONYOU</t>
  </si>
  <si>
    <t>DIANNA ROSE</t>
  </si>
  <si>
    <t>Purchasing Administration</t>
  </si>
  <si>
    <t>GROSSI</t>
  </si>
  <si>
    <t>HOADLEY</t>
  </si>
  <si>
    <t>Product Data Management Clerk</t>
  </si>
  <si>
    <t>HOOIVELD</t>
  </si>
  <si>
    <t>Overhead Buyer</t>
  </si>
  <si>
    <t>JAGGAN</t>
  </si>
  <si>
    <t>National Traffic &amp; Fleet Manager</t>
  </si>
  <si>
    <t>LAINEZ</t>
  </si>
  <si>
    <t>ELLEN</t>
  </si>
  <si>
    <t>Travel Coordinator</t>
  </si>
  <si>
    <t>LOUM</t>
  </si>
  <si>
    <t>TOM</t>
  </si>
  <si>
    <t>MOLNAR</t>
  </si>
  <si>
    <t>Expeditor</t>
  </si>
  <si>
    <t>NARBUTT</t>
  </si>
  <si>
    <t>JAD</t>
  </si>
  <si>
    <t>O'HERON</t>
  </si>
  <si>
    <t>OLEARNIK</t>
  </si>
  <si>
    <t>PROCOPI</t>
  </si>
  <si>
    <t>PAOLA</t>
  </si>
  <si>
    <t>SAHS</t>
  </si>
  <si>
    <t>SMALL</t>
  </si>
  <si>
    <t>WELTON</t>
  </si>
  <si>
    <t>WICKABROD</t>
  </si>
  <si>
    <t>BEVERLEY</t>
  </si>
  <si>
    <t>Purchasing Manager</t>
  </si>
  <si>
    <t>BABICH</t>
  </si>
  <si>
    <t>LYNDA</t>
  </si>
  <si>
    <t>Manager, Laboratory Marketing</t>
  </si>
  <si>
    <t>DOWE</t>
  </si>
  <si>
    <t>EMERY</t>
  </si>
  <si>
    <t>JULIE</t>
  </si>
  <si>
    <t>JAMAL</t>
  </si>
  <si>
    <t>RAMZAN</t>
  </si>
  <si>
    <t>Tooth Credit Representative</t>
  </si>
  <si>
    <t>ARBELAEZ</t>
  </si>
  <si>
    <t>IVAN</t>
  </si>
  <si>
    <t>NSP Lead Hand</t>
  </si>
  <si>
    <t>BABIC</t>
  </si>
  <si>
    <t>GORAN</t>
  </si>
  <si>
    <t>NSP Representative</t>
  </si>
  <si>
    <t>NSP Customer Returns Representative</t>
  </si>
  <si>
    <t>FEASTER</t>
  </si>
  <si>
    <t>NERY</t>
  </si>
  <si>
    <t>NSP Astea Returns Representative</t>
  </si>
  <si>
    <t>HERNANDEZ</t>
  </si>
  <si>
    <t>EDY SONIA</t>
  </si>
  <si>
    <t>MAYHEW</t>
  </si>
  <si>
    <t>PALMER</t>
  </si>
  <si>
    <t>NSP Returns Lead Hand</t>
  </si>
  <si>
    <t>PITRE</t>
  </si>
  <si>
    <t>SHERYL</t>
  </si>
  <si>
    <t>NSP Returns Representative</t>
  </si>
  <si>
    <t>WHIPPLE</t>
  </si>
  <si>
    <t>MCGLYNN</t>
  </si>
  <si>
    <t>DIANA</t>
  </si>
  <si>
    <t>Director, Canadian Distribution (US)</t>
  </si>
  <si>
    <t>MOSLEY</t>
  </si>
  <si>
    <t>Director of Distribution</t>
  </si>
  <si>
    <t>Service Manager</t>
  </si>
  <si>
    <t>FROHLICH</t>
  </si>
  <si>
    <t>TASSIE</t>
  </si>
  <si>
    <t>EST</t>
  </si>
  <si>
    <t>THOMSON</t>
  </si>
  <si>
    <t>WALTON</t>
  </si>
  <si>
    <t>YARDLEY</t>
  </si>
  <si>
    <t>DARREN</t>
  </si>
  <si>
    <t>BOYKO</t>
  </si>
  <si>
    <t>RANDY</t>
  </si>
  <si>
    <t>Hi Tech Service Supervisor</t>
  </si>
  <si>
    <t>HUNTER</t>
  </si>
  <si>
    <t>KEYWOOD</t>
  </si>
  <si>
    <t>SIMON</t>
  </si>
  <si>
    <t>NGUYEN</t>
  </si>
  <si>
    <t>NIKOLIC</t>
  </si>
  <si>
    <t>GORKI</t>
  </si>
  <si>
    <t>SCHNEIDER</t>
  </si>
  <si>
    <t>VANDENBERG</t>
  </si>
  <si>
    <t>GERRIT</t>
  </si>
  <si>
    <t>JOHN R.</t>
  </si>
  <si>
    <t>EST Hi-Tech</t>
  </si>
  <si>
    <t>BEAULIEU</t>
  </si>
  <si>
    <t>ROSS</t>
  </si>
  <si>
    <t>BLACKETT</t>
  </si>
  <si>
    <t>CARNEGIE</t>
  </si>
  <si>
    <t>EST Service Installation</t>
  </si>
  <si>
    <t>FORD</t>
  </si>
  <si>
    <t>KURT</t>
  </si>
  <si>
    <t>HIRST</t>
  </si>
  <si>
    <t>HOLLMAN</t>
  </si>
  <si>
    <t>KARBA</t>
  </si>
  <si>
    <t>KOWALCHUK</t>
  </si>
  <si>
    <t>LANGTON</t>
  </si>
  <si>
    <t>SHYPANSKI</t>
  </si>
  <si>
    <t>STUCKEY</t>
  </si>
  <si>
    <t>BLAMIRE</t>
  </si>
  <si>
    <t>JERRY</t>
  </si>
  <si>
    <t>ESLINGER</t>
  </si>
  <si>
    <t>HAMELIN</t>
  </si>
  <si>
    <t>JOHANNSEN</t>
  </si>
  <si>
    <t>JUNIO</t>
  </si>
  <si>
    <t>KARMAN</t>
  </si>
  <si>
    <t>KATHRENS</t>
  </si>
  <si>
    <t>RICK</t>
  </si>
  <si>
    <t>MORALES</t>
  </si>
  <si>
    <t>EDUARDO</t>
  </si>
  <si>
    <t>WEISS</t>
  </si>
  <si>
    <t>Technical Support Representative - HSPS</t>
  </si>
  <si>
    <t>BARDO</t>
  </si>
  <si>
    <t>BURTON</t>
  </si>
  <si>
    <t>DERGO</t>
  </si>
  <si>
    <t>DREVER</t>
  </si>
  <si>
    <t>JOEL</t>
  </si>
  <si>
    <t>GOEBEL</t>
  </si>
  <si>
    <t>CALLEN</t>
  </si>
  <si>
    <t>SAKOWSKY</t>
  </si>
  <si>
    <t>BEAUVAIS</t>
  </si>
  <si>
    <t>HUMBY</t>
  </si>
  <si>
    <t>KARNAFEL</t>
  </si>
  <si>
    <t>KULBABA</t>
  </si>
  <si>
    <t>LIPNICZKY</t>
  </si>
  <si>
    <t>LISI</t>
  </si>
  <si>
    <t>BERNARDINO</t>
  </si>
  <si>
    <t>NORTON</t>
  </si>
  <si>
    <t>TUMMILLO</t>
  </si>
  <si>
    <t>ROCCO</t>
  </si>
  <si>
    <t>ZEMETRO</t>
  </si>
  <si>
    <t>DARIUSZ</t>
  </si>
  <si>
    <t>BECHARD</t>
  </si>
  <si>
    <t>FAUBERT</t>
  </si>
  <si>
    <t>LUCK</t>
  </si>
  <si>
    <t>ROLAND</t>
  </si>
  <si>
    <t>READY</t>
  </si>
  <si>
    <t>ROBINSON</t>
  </si>
  <si>
    <t>BRADLEY</t>
  </si>
  <si>
    <t>WALKER</t>
  </si>
  <si>
    <t>HARP Xray Tester</t>
  </si>
  <si>
    <t>BABOOLAL</t>
  </si>
  <si>
    <t>DEXTER</t>
  </si>
  <si>
    <t>CHAOHAN</t>
  </si>
  <si>
    <t>DHANSUKH</t>
  </si>
  <si>
    <t>CUMMINGS</t>
  </si>
  <si>
    <t>DABIDEEN</t>
  </si>
  <si>
    <t>FILEV</t>
  </si>
  <si>
    <t>EMIL</t>
  </si>
  <si>
    <t>FYLES</t>
  </si>
  <si>
    <t>GILES</t>
  </si>
  <si>
    <t>GOURLIE</t>
  </si>
  <si>
    <t>HERZOG</t>
  </si>
  <si>
    <t>JACKSON</t>
  </si>
  <si>
    <t>KOSIEK</t>
  </si>
  <si>
    <t>MCGUIRE</t>
  </si>
  <si>
    <t>MOORE</t>
  </si>
  <si>
    <t>NUGENT</t>
  </si>
  <si>
    <t>NURGITZ</t>
  </si>
  <si>
    <t>PANCER</t>
  </si>
  <si>
    <t>POLINO</t>
  </si>
  <si>
    <t>RAMLOGAN</t>
  </si>
  <si>
    <t>OMARAM</t>
  </si>
  <si>
    <t>REYNOLDS</t>
  </si>
  <si>
    <t>TODD</t>
  </si>
  <si>
    <t>RICHER</t>
  </si>
  <si>
    <t>ROBIDAS</t>
  </si>
  <si>
    <t>SAMAROO</t>
  </si>
  <si>
    <t>EFREM</t>
  </si>
  <si>
    <t>SANTIAGO</t>
  </si>
  <si>
    <t>ROMEL</t>
  </si>
  <si>
    <t>SHARIVKER</t>
  </si>
  <si>
    <t>STAN</t>
  </si>
  <si>
    <t>SOTIROV</t>
  </si>
  <si>
    <t>MAURICE</t>
  </si>
  <si>
    <t>STRIZIC</t>
  </si>
  <si>
    <t>SWAN</t>
  </si>
  <si>
    <t>COREY</t>
  </si>
  <si>
    <t>SZELAG</t>
  </si>
  <si>
    <t>MARIUSZ</t>
  </si>
  <si>
    <t>TEROVA</t>
  </si>
  <si>
    <t>FATOS</t>
  </si>
  <si>
    <t>ULBL</t>
  </si>
  <si>
    <t>YANES</t>
  </si>
  <si>
    <t>ARVIN</t>
  </si>
  <si>
    <t>ZYMANTAS</t>
  </si>
  <si>
    <t>BIRDSELL</t>
  </si>
  <si>
    <t>ROGER</t>
  </si>
  <si>
    <t>BIZRI</t>
  </si>
  <si>
    <t>BRISSON</t>
  </si>
  <si>
    <t>EST Hi-Tech Support</t>
  </si>
  <si>
    <t>BUDGELL</t>
  </si>
  <si>
    <t>CAVELL</t>
  </si>
  <si>
    <t>DAMJANSCHITZ</t>
  </si>
  <si>
    <t>ALBERT</t>
  </si>
  <si>
    <t>GARDNER</t>
  </si>
  <si>
    <t>ProRepair Technician</t>
  </si>
  <si>
    <t>HOLLIS</t>
  </si>
  <si>
    <t>ANDY</t>
  </si>
  <si>
    <t>LATHAM</t>
  </si>
  <si>
    <t>LIM</t>
  </si>
  <si>
    <t>LUCAS</t>
  </si>
  <si>
    <t>MUNRO</t>
  </si>
  <si>
    <t>PAGE</t>
  </si>
  <si>
    <t>CYPRIAN</t>
  </si>
  <si>
    <t>PILON</t>
  </si>
  <si>
    <t>MICHEL</t>
  </si>
  <si>
    <t>SAKELL</t>
  </si>
  <si>
    <t>VANNESTE</t>
  </si>
  <si>
    <t>CORNELIUS</t>
  </si>
  <si>
    <t>ED</t>
  </si>
  <si>
    <t>DOUCETTE</t>
  </si>
  <si>
    <t>ESTEY</t>
  </si>
  <si>
    <t>WESLEY</t>
  </si>
  <si>
    <t>MITTON</t>
  </si>
  <si>
    <t>STEPHEN</t>
  </si>
  <si>
    <t>MORRISON</t>
  </si>
  <si>
    <t>KIMBALL</t>
  </si>
  <si>
    <t>NICHOLSON</t>
  </si>
  <si>
    <t>ARCHIE</t>
  </si>
  <si>
    <t>PELRINE</t>
  </si>
  <si>
    <t>EARL</t>
  </si>
  <si>
    <t>SOUCY</t>
  </si>
  <si>
    <t>MACGILLIVRAY</t>
  </si>
  <si>
    <t>ABBAS</t>
  </si>
  <si>
    <t>RACHID</t>
  </si>
  <si>
    <t>BEAUCHAMP</t>
  </si>
  <si>
    <t>FRANCOIS</t>
  </si>
  <si>
    <t>BENOIT</t>
  </si>
  <si>
    <t>BOURRET</t>
  </si>
  <si>
    <t>CHARETTE</t>
  </si>
  <si>
    <t>CLOUTIER</t>
  </si>
  <si>
    <t>CORDEAU</t>
  </si>
  <si>
    <t>CORNO</t>
  </si>
  <si>
    <t>REJEAN</t>
  </si>
  <si>
    <t>CSIKI</t>
  </si>
  <si>
    <t>BELA</t>
  </si>
  <si>
    <t>DESCHAMBAULT</t>
  </si>
  <si>
    <t>SERGE</t>
  </si>
  <si>
    <t>DESCHENES</t>
  </si>
  <si>
    <t>NICHOLAS</t>
  </si>
  <si>
    <t>EDGETT</t>
  </si>
  <si>
    <t>FILLION</t>
  </si>
  <si>
    <t>ANDRE</t>
  </si>
  <si>
    <t>GARANT</t>
  </si>
  <si>
    <t>GARIEPY</t>
  </si>
  <si>
    <t>HARNOIS-LEPAGE</t>
  </si>
  <si>
    <t>HOULE</t>
  </si>
  <si>
    <t>LALIBERTE</t>
  </si>
  <si>
    <t>LAMARCHE</t>
  </si>
  <si>
    <t>HUBERT</t>
  </si>
  <si>
    <t>LAMBERT</t>
  </si>
  <si>
    <t>LONGPRE</t>
  </si>
  <si>
    <t>MORNEAU</t>
  </si>
  <si>
    <t>PIVIN</t>
  </si>
  <si>
    <t>RICARD</t>
  </si>
  <si>
    <t>ROBILLARD</t>
  </si>
  <si>
    <t>SENECHAL</t>
  </si>
  <si>
    <t>YANNICK</t>
  </si>
  <si>
    <t>SONICKI</t>
  </si>
  <si>
    <t>STILLWELL</t>
  </si>
  <si>
    <t>THERIAULT</t>
  </si>
  <si>
    <t>GASTON</t>
  </si>
  <si>
    <t>DUMONT</t>
  </si>
  <si>
    <t>BRUNO</t>
  </si>
  <si>
    <t>FORTIER</t>
  </si>
  <si>
    <t>GAMACHE</t>
  </si>
  <si>
    <t>GAUDET</t>
  </si>
  <si>
    <t>K-LAFLAMME</t>
  </si>
  <si>
    <t>KARL</t>
  </si>
  <si>
    <t>VIGNEAULT</t>
  </si>
  <si>
    <t>VILLENEUVE</t>
  </si>
  <si>
    <t>BRUCKNER</t>
  </si>
  <si>
    <t>CORRIVEAU</t>
  </si>
  <si>
    <t>LISE</t>
  </si>
  <si>
    <t>Leasing Administrator</t>
  </si>
  <si>
    <t>FORTIN</t>
  </si>
  <si>
    <t>Zone Leasing Manager</t>
  </si>
  <si>
    <t>HS Financial Services Manager</t>
  </si>
  <si>
    <t>CHERYL</t>
  </si>
  <si>
    <t>Leasing Specialist</t>
  </si>
  <si>
    <t>HSFS Leasing Manager, Western Canada</t>
  </si>
  <si>
    <t>KARLOWSKY</t>
  </si>
  <si>
    <t>KAY</t>
  </si>
  <si>
    <t>Director of Leasing</t>
  </si>
  <si>
    <t>PIRANI</t>
  </si>
  <si>
    <t>MEHBOOB</t>
  </si>
  <si>
    <t>Leasing Support</t>
  </si>
  <si>
    <t>CRONEY</t>
  </si>
  <si>
    <t>KENNETH</t>
  </si>
  <si>
    <t>Equip Advertising Specialist</t>
  </si>
  <si>
    <t>BRIGHT</t>
  </si>
  <si>
    <t>HELENE</t>
  </si>
  <si>
    <t>CHIKOMBERO</t>
  </si>
  <si>
    <t>Equipment Support Coordinator</t>
  </si>
  <si>
    <t>ANNIE</t>
  </si>
  <si>
    <t>HOUGH</t>
  </si>
  <si>
    <t>ISAAK</t>
  </si>
  <si>
    <t>Equipment Support</t>
  </si>
  <si>
    <t>LIEFL</t>
  </si>
  <si>
    <t>PITHOUSE</t>
  </si>
  <si>
    <t>Equipment Support Supervisor</t>
  </si>
  <si>
    <t>GRONDIN</t>
  </si>
  <si>
    <t>JEAN PAUL</t>
  </si>
  <si>
    <t>RYAN</t>
  </si>
  <si>
    <t>ESS</t>
  </si>
  <si>
    <t>KNECHTEL</t>
  </si>
  <si>
    <t>ESS/FSC</t>
  </si>
  <si>
    <t>CARWAY</t>
  </si>
  <si>
    <t>FRADETTE</t>
  </si>
  <si>
    <t>COLOMAN</t>
  </si>
  <si>
    <t>PETRIE</t>
  </si>
  <si>
    <t>CINDY</t>
  </si>
  <si>
    <t>GEOFFREY</t>
  </si>
  <si>
    <t>MARK (GORDON)</t>
  </si>
  <si>
    <t>BRYCE</t>
  </si>
  <si>
    <t>ROBERT SCOTT</t>
  </si>
  <si>
    <t>BARNACLE</t>
  </si>
  <si>
    <t>HECKBERT</t>
  </si>
  <si>
    <t>KODEH</t>
  </si>
  <si>
    <t>PATRICE</t>
  </si>
  <si>
    <t>LACROIX</t>
  </si>
  <si>
    <t>LEPAGE</t>
  </si>
  <si>
    <t>MITROVIC</t>
  </si>
  <si>
    <t>EDDY</t>
  </si>
  <si>
    <t>DUFOUR</t>
  </si>
  <si>
    <t>NICOLAS</t>
  </si>
  <si>
    <t>EST Hi-Tech/ESS</t>
  </si>
  <si>
    <t>MCKNIGHT</t>
  </si>
  <si>
    <t>DESMOND</t>
  </si>
  <si>
    <t>RUBAIYAT</t>
  </si>
  <si>
    <t>Lead Installation Coordinator</t>
  </si>
  <si>
    <t>NEWELL</t>
  </si>
  <si>
    <t>Service Coordinator</t>
  </si>
  <si>
    <t>LUISA_MA</t>
  </si>
  <si>
    <t>EMELITA</t>
  </si>
  <si>
    <t>YOLANDE</t>
  </si>
  <si>
    <t>BELIVEAU</t>
  </si>
  <si>
    <t>EST Project Service Installation</t>
  </si>
  <si>
    <t>LACHAPELLE</t>
  </si>
  <si>
    <t>JEAN</t>
  </si>
  <si>
    <t>MERCIER</t>
  </si>
  <si>
    <t>ROZANKOVIC</t>
  </si>
  <si>
    <t>Dispatcher</t>
  </si>
  <si>
    <t>TRUDEAU</t>
  </si>
  <si>
    <t>HUGO</t>
  </si>
  <si>
    <t>GUAY</t>
  </si>
  <si>
    <t>MOISE</t>
  </si>
  <si>
    <t>EDITH</t>
  </si>
  <si>
    <t>PLANTE</t>
  </si>
  <si>
    <t>HIPOLITO</t>
  </si>
  <si>
    <t>VILMA</t>
  </si>
  <si>
    <t>STILES</t>
  </si>
  <si>
    <t>BERNIER</t>
  </si>
  <si>
    <t>CAGGIANO</t>
  </si>
  <si>
    <t>CARTER</t>
  </si>
  <si>
    <t>RACQUEL</t>
  </si>
  <si>
    <t>THELMA</t>
  </si>
  <si>
    <t>ProRepair Parts Coordinator</t>
  </si>
  <si>
    <t>ProRepair Manager</t>
  </si>
  <si>
    <t>ROUSSY</t>
  </si>
  <si>
    <t>LOU</t>
  </si>
  <si>
    <t>SHAKESPEARE</t>
  </si>
  <si>
    <t>RUPINDER</t>
  </si>
  <si>
    <t>CHAMPOUX</t>
  </si>
  <si>
    <t>Inventory Control Coordinator</t>
  </si>
  <si>
    <t>BERTRAND</t>
  </si>
  <si>
    <t>RETA</t>
  </si>
  <si>
    <t>COX</t>
  </si>
  <si>
    <t>DOBBELSTEYN</t>
  </si>
  <si>
    <t>DOMANICO</t>
  </si>
  <si>
    <t>ANGELO</t>
  </si>
  <si>
    <t>HALE</t>
  </si>
  <si>
    <t>LEONE</t>
  </si>
  <si>
    <t>MACLEAN</t>
  </si>
  <si>
    <t>METZ</t>
  </si>
  <si>
    <t>Manager, Technical Services Support</t>
  </si>
  <si>
    <t>PARLIAMENT</t>
  </si>
  <si>
    <t>LORI</t>
  </si>
  <si>
    <t>PINTO</t>
  </si>
  <si>
    <t>SAMMAN</t>
  </si>
  <si>
    <t>MAGDA</t>
  </si>
  <si>
    <t>SERVOS</t>
  </si>
  <si>
    <t>WLODARSKI</t>
  </si>
  <si>
    <t>Technical Service Sales &amp; Training Manager</t>
  </si>
  <si>
    <t>E4D Cad/Cam Specialist</t>
  </si>
  <si>
    <t>ROLLES</t>
  </si>
  <si>
    <t>TAMO</t>
  </si>
  <si>
    <t>LOWDEN</t>
  </si>
  <si>
    <t>JOANIS</t>
  </si>
  <si>
    <t>CHEUNG</t>
  </si>
  <si>
    <t>JUNI</t>
  </si>
  <si>
    <t>TESORO</t>
  </si>
  <si>
    <t>NICANDRO</t>
  </si>
  <si>
    <t>BELAU</t>
  </si>
  <si>
    <t>EVGENY</t>
  </si>
  <si>
    <t>CRUZ</t>
  </si>
  <si>
    <t>CUEVAS</t>
  </si>
  <si>
    <t>DIMITRIJEVIC</t>
  </si>
  <si>
    <t>MIRKO</t>
  </si>
  <si>
    <t>DONER</t>
  </si>
  <si>
    <t>GONZALEZ</t>
  </si>
  <si>
    <t>RICARDO</t>
  </si>
  <si>
    <t>HODGSON</t>
  </si>
  <si>
    <t>HAROLD</t>
  </si>
  <si>
    <t>NESIC</t>
  </si>
  <si>
    <t>NENAD</t>
  </si>
  <si>
    <t>WAGNER</t>
  </si>
  <si>
    <t>YICK</t>
  </si>
  <si>
    <t>BOURGET</t>
  </si>
  <si>
    <t>CREPEAU</t>
  </si>
  <si>
    <t>GAETAN</t>
  </si>
  <si>
    <t>DEMETER</t>
  </si>
  <si>
    <t>EUGEN</t>
  </si>
  <si>
    <t>HOCHU</t>
  </si>
  <si>
    <t>ALEXANDRE</t>
  </si>
  <si>
    <t>QUENNEVILLE</t>
  </si>
  <si>
    <t>MIKAEL</t>
  </si>
  <si>
    <t>BANVILLE</t>
  </si>
  <si>
    <t>LECLAIR</t>
  </si>
  <si>
    <t>MANTILLA</t>
  </si>
  <si>
    <t>CIRO</t>
  </si>
  <si>
    <t>CARVAJAL DE LA OSA</t>
  </si>
  <si>
    <t>IGOR</t>
  </si>
  <si>
    <t>KALK</t>
  </si>
  <si>
    <t>KOPCZYK</t>
  </si>
  <si>
    <t>LEISHMAN</t>
  </si>
  <si>
    <t>MCKEE</t>
  </si>
  <si>
    <t>MCQUAKER</t>
  </si>
  <si>
    <t>TRACHTENBERG</t>
  </si>
  <si>
    <t>YASIN</t>
  </si>
  <si>
    <t>DDI Technical Specialist</t>
  </si>
  <si>
    <t>CARERE</t>
  </si>
  <si>
    <t>LAQUANG</t>
  </si>
  <si>
    <t>ALEXANDRA</t>
  </si>
  <si>
    <t>Hi-Tech Trainer</t>
  </si>
  <si>
    <t>PAPPAS</t>
  </si>
  <si>
    <t>DONNAN</t>
  </si>
  <si>
    <t>Program Manager, HSPS Customer Care</t>
  </si>
  <si>
    <t>GARSIDE</t>
  </si>
  <si>
    <t>ZHANG</t>
  </si>
  <si>
    <t>ZUOWEN</t>
  </si>
  <si>
    <t>Software Engineer</t>
  </si>
  <si>
    <t>GALLAGHER</t>
  </si>
  <si>
    <t>BREANNE</t>
  </si>
  <si>
    <t>STELMACK</t>
  </si>
  <si>
    <t>Field Training Manager</t>
  </si>
  <si>
    <t>Trainer - HSPS</t>
  </si>
  <si>
    <t>AYOTTE</t>
  </si>
  <si>
    <t>Technical Support Representative - PMTS</t>
  </si>
  <si>
    <t>BARWELL</t>
  </si>
  <si>
    <t>MUDFORD</t>
  </si>
  <si>
    <t>OLWAGE</t>
  </si>
  <si>
    <t>OSBORNE</t>
  </si>
  <si>
    <t>GINETTE</t>
  </si>
  <si>
    <t>STEFAN</t>
  </si>
  <si>
    <t>KALTANI</t>
  </si>
  <si>
    <t>PHOMMASENG</t>
  </si>
  <si>
    <t>BOBBY</t>
  </si>
  <si>
    <t>ROULSTON</t>
  </si>
  <si>
    <t>DARRAN</t>
  </si>
  <si>
    <t>Technical Service Specialist</t>
  </si>
  <si>
    <t>Retuned from LOA</t>
  </si>
  <si>
    <t>AQ</t>
  </si>
  <si>
    <t>Attch 1 Used [Y/N]</t>
  </si>
  <si>
    <t>Attch 2 Used [Y/N]</t>
  </si>
  <si>
    <t>Cindy.Petrie@henryschein.ca</t>
  </si>
  <si>
    <t>Francois.Beauchamp@henryschein.ca</t>
  </si>
  <si>
    <t>Murray.Skinner@henryschein.ca</t>
  </si>
  <si>
    <t>Serge.Lacroix@henryschein.ca</t>
  </si>
  <si>
    <t>Mark.Grant@henryschein.ca</t>
  </si>
  <si>
    <t>Ryan.Miller@henryschein.ca</t>
  </si>
  <si>
    <t>Jeff.Heckbert@henryschein.ca</t>
  </si>
  <si>
    <t>Grant.Gaudes@henryschein.ca</t>
  </si>
  <si>
    <t>Michael.Weiss@henryschein.ca</t>
  </si>
  <si>
    <t>Ken.Croney@henryschein.ca</t>
  </si>
  <si>
    <t>les.kravitz@henryschein.ca</t>
  </si>
  <si>
    <t>Richard.Wong@henryschein.ca</t>
  </si>
  <si>
    <t>dave.goossens@henryschein.ca</t>
  </si>
  <si>
    <t>Eddy.Mitrovic@henryschein.ca</t>
  </si>
  <si>
    <t>Efrem.Samaroo@henryschein.ca</t>
  </si>
  <si>
    <t>Coloman.Lipniczky@henryschein.ca</t>
  </si>
  <si>
    <t>Steve.Park@henryschein.ca</t>
  </si>
  <si>
    <t>nicolas.dufour@henryschein.ca</t>
  </si>
  <si>
    <t>Shawn.Barnacle@henryschein.ca</t>
  </si>
  <si>
    <t>Benoit.Lambert@henryschein.ca</t>
  </si>
  <si>
    <t>Maralee.Miller@henryschein.ca</t>
  </si>
  <si>
    <t>John.McGuire@henryschein.ca</t>
  </si>
  <si>
    <t>Cole.Beacham@henryschein.ca</t>
  </si>
  <si>
    <t>Eric.K-LaFlamme@henryschein.ca</t>
  </si>
  <si>
    <t>Moe.StGermain@henryschein.ca</t>
  </si>
  <si>
    <t>tony.polino@henryschein.ca</t>
  </si>
  <si>
    <t>Eric.Vigneault@henryschein.ca</t>
  </si>
  <si>
    <t>Jason.Carway@henryschein.ca</t>
  </si>
  <si>
    <t>BusinessReporting.Canada@henryschein.ca</t>
  </si>
  <si>
    <t>Andre.Roy@henryschein.ca</t>
  </si>
  <si>
    <t>Tyler.Thompson@henryschein.ca</t>
  </si>
  <si>
    <t>Total Count</t>
  </si>
  <si>
    <t xml:space="preserve">Selected Record Count: </t>
  </si>
  <si>
    <t>Laura.Bauder@henryschein.ca</t>
  </si>
  <si>
    <t>As of</t>
  </si>
  <si>
    <t>Statement Now Sent</t>
  </si>
  <si>
    <t>Email Send</t>
  </si>
  <si>
    <t>AR</t>
  </si>
  <si>
    <t>DOMINGUEZ</t>
  </si>
  <si>
    <t>DEMPSEY</t>
  </si>
  <si>
    <t>NATHAN</t>
  </si>
  <si>
    <t>TYLER</t>
  </si>
  <si>
    <t>ARCHER</t>
  </si>
  <si>
    <t>BA</t>
  </si>
  <si>
    <t>MAMADOU</t>
  </si>
  <si>
    <t>ST-LOUIS</t>
  </si>
  <si>
    <t>ANIK</t>
  </si>
  <si>
    <t>CHANTAL</t>
  </si>
  <si>
    <t>BARANSEL</t>
  </si>
  <si>
    <t>LEYLA</t>
  </si>
  <si>
    <t>SACKRIDER</t>
  </si>
  <si>
    <t>WZ1TT</t>
  </si>
  <si>
    <t>WZ1LM</t>
  </si>
  <si>
    <t>No Comm Stat</t>
  </si>
  <si>
    <t>CZ4KC</t>
  </si>
  <si>
    <t>CZ3CB</t>
  </si>
  <si>
    <t>KUPER</t>
  </si>
  <si>
    <t>NICHOLAI</t>
  </si>
  <si>
    <t>GARCIA</t>
  </si>
  <si>
    <t>DARIO</t>
  </si>
  <si>
    <t>SEYE</t>
  </si>
  <si>
    <t>MOUHAMADOU</t>
  </si>
  <si>
    <t>BAUDER</t>
  </si>
  <si>
    <t>KOURYS</t>
  </si>
  <si>
    <t>SKORIK</t>
  </si>
  <si>
    <t>SLAVA</t>
  </si>
  <si>
    <t>Gerry.Fraser@henryschein.ca</t>
  </si>
  <si>
    <t>CZ1GF</t>
  </si>
  <si>
    <t>CZ1G2</t>
  </si>
  <si>
    <t>CZ8J2</t>
  </si>
  <si>
    <t>Product Data Management Specialist</t>
  </si>
  <si>
    <t>ESTATE-OF-THE-LATE</t>
  </si>
  <si>
    <t>KOLODZIEJCZYK,E</t>
  </si>
  <si>
    <t>ZARB</t>
  </si>
  <si>
    <t>P.REBECCA</t>
  </si>
  <si>
    <t>LEON</t>
  </si>
  <si>
    <t>ALETO</t>
  </si>
  <si>
    <t>MASSON</t>
  </si>
  <si>
    <t>SHERRI</t>
  </si>
  <si>
    <t>GERRY</t>
  </si>
  <si>
    <t>DAOUST</t>
  </si>
  <si>
    <t>CHOUHAN</t>
  </si>
  <si>
    <t>KIRIT</t>
  </si>
  <si>
    <t>ESS/EST</t>
  </si>
  <si>
    <t>DOUGLAS STILLWELL</t>
  </si>
  <si>
    <t>EE #</t>
  </si>
  <si>
    <t>Cost Centre</t>
  </si>
  <si>
    <t>Last Name</t>
  </si>
  <si>
    <t>First Name</t>
  </si>
  <si>
    <t>Job Title</t>
  </si>
  <si>
    <t>Location</t>
  </si>
  <si>
    <t>Status</t>
  </si>
  <si>
    <t>RANGI</t>
  </si>
  <si>
    <t>BALBINDER</t>
  </si>
  <si>
    <t>MA</t>
  </si>
  <si>
    <t>Director, Human Resources</t>
  </si>
  <si>
    <t>Director, Planning &amp; Commissions</t>
  </si>
  <si>
    <t>Director, Financial Operations</t>
  </si>
  <si>
    <t>Director, Information Technology</t>
  </si>
  <si>
    <t>Data Entry Clerk</t>
  </si>
  <si>
    <t>Director, Equipment Specialties Sales and Programs</t>
  </si>
  <si>
    <t>Hi-Tech Coordinator</t>
  </si>
  <si>
    <t>Hi-Tech Supervisor</t>
  </si>
  <si>
    <t>WZ224</t>
  </si>
  <si>
    <t>WZ324</t>
  </si>
  <si>
    <t>Comm Stat now sent</t>
  </si>
  <si>
    <t>Lori.Mcrae@henryschein.ca</t>
  </si>
  <si>
    <t>CZ1LM</t>
  </si>
  <si>
    <t>National Business Development Sales Manager</t>
  </si>
  <si>
    <t>FOLEY</t>
  </si>
  <si>
    <t>SHORT</t>
  </si>
  <si>
    <t>TANNER</t>
  </si>
  <si>
    <t>DOAN</t>
  </si>
  <si>
    <t>BAO</t>
  </si>
  <si>
    <t>MCRAE-HILDEBRANDT</t>
  </si>
  <si>
    <t>SALISBURY</t>
  </si>
  <si>
    <t>SAY</t>
  </si>
  <si>
    <t>HOEKSTRA</t>
  </si>
  <si>
    <t>OHRI</t>
  </si>
  <si>
    <t>PRASHANT</t>
  </si>
  <si>
    <t>ARSENAULT</t>
  </si>
  <si>
    <t>MONIKA</t>
  </si>
  <si>
    <t>ERICKSON</t>
  </si>
  <si>
    <t>WES</t>
  </si>
  <si>
    <t>PICHER</t>
  </si>
  <si>
    <t>Manager, National Technology</t>
  </si>
  <si>
    <t>Annette.Muller@henryschein.ca</t>
  </si>
  <si>
    <t>WZ1AM</t>
  </si>
  <si>
    <t>BEALES</t>
  </si>
  <si>
    <t>MACDOUGALL</t>
  </si>
  <si>
    <t>Katie.Seys@henryschein.ca</t>
  </si>
  <si>
    <t>1st Terr TORNT</t>
  </si>
  <si>
    <t>New FSC, 1st Terr LONDN</t>
  </si>
  <si>
    <t>New FSC 1st Terr CALGY</t>
  </si>
  <si>
    <t>New FSC 2nd Terr EDMON</t>
  </si>
  <si>
    <t>JOCELYN CORDEAU</t>
  </si>
  <si>
    <t>JUSTIN WHITE</t>
  </si>
  <si>
    <t>DAVID DEELEY</t>
  </si>
  <si>
    <t>JOEL DREVER</t>
  </si>
  <si>
    <t>JOEL READY</t>
  </si>
  <si>
    <t>MARLENE PERRY</t>
  </si>
  <si>
    <t>TRACY MARKOVICH</t>
  </si>
  <si>
    <t>HUBERT JOANIS</t>
  </si>
  <si>
    <t>JOSEPH KARMAN</t>
  </si>
  <si>
    <t>ALBERT DAMJANSCHITZ</t>
  </si>
  <si>
    <t>WZ1KS</t>
  </si>
  <si>
    <t>WZ1MM</t>
  </si>
  <si>
    <t>CCComConfig.xml</t>
  </si>
  <si>
    <t>CCPaymentReport</t>
  </si>
  <si>
    <t>Focus_Feedback</t>
  </si>
  <si>
    <t>.xlsx</t>
  </si>
  <si>
    <t>Name Change</t>
  </si>
  <si>
    <t>Senior Commissions Analyst</t>
  </si>
  <si>
    <t>PAWSON</t>
  </si>
  <si>
    <t>Senior Regulatory Specialist</t>
  </si>
  <si>
    <t>CUTLER</t>
  </si>
  <si>
    <t>STUART ROSS</t>
  </si>
  <si>
    <t>BURNISON</t>
  </si>
  <si>
    <t>KATHRYN</t>
  </si>
  <si>
    <t>NALDO</t>
  </si>
  <si>
    <t>Accounts Receivable Reporting Analyst</t>
  </si>
  <si>
    <t>NEWSHAM</t>
  </si>
  <si>
    <t>DARRYLL</t>
  </si>
  <si>
    <t>Service Coordinator/DC Support</t>
  </si>
  <si>
    <t>ALTY</t>
  </si>
  <si>
    <t>AMIN</t>
  </si>
  <si>
    <t>PREETI</t>
  </si>
  <si>
    <t>LEGAULT</t>
  </si>
  <si>
    <t>TIFFANY ANN</t>
  </si>
  <si>
    <t>BAINS</t>
  </si>
  <si>
    <t>JASBIR</t>
  </si>
  <si>
    <t>QZ184</t>
  </si>
  <si>
    <t>Andrew.Sackrider@henryschein.ca</t>
  </si>
  <si>
    <t>Simon.Giles@henryschein.ca</t>
  </si>
  <si>
    <t>Wes.Erickson@henryschein.ca</t>
  </si>
  <si>
    <t>Martin.David@henryschein.ca</t>
  </si>
  <si>
    <t>andrew.savoie@henryschein.ca</t>
  </si>
  <si>
    <t xml:space="preserve">ESS66 </t>
  </si>
  <si>
    <t xml:space="preserve">ESS14 </t>
  </si>
  <si>
    <t xml:space="preserve">ESS65 </t>
  </si>
  <si>
    <t xml:space="preserve">ESS62 </t>
  </si>
  <si>
    <t xml:space="preserve">ESS68 </t>
  </si>
  <si>
    <t xml:space="preserve">ESS60 </t>
  </si>
  <si>
    <t xml:space="preserve">ESS57 </t>
  </si>
  <si>
    <t xml:space="preserve">ESS64 </t>
  </si>
  <si>
    <t xml:space="preserve">ESS04 </t>
  </si>
  <si>
    <t xml:space="preserve">ESS56 </t>
  </si>
  <si>
    <t xml:space="preserve">ESS25 </t>
  </si>
  <si>
    <t xml:space="preserve">ESS10 </t>
  </si>
  <si>
    <t xml:space="preserve">ESS54 </t>
  </si>
  <si>
    <t>ESS29(36)</t>
  </si>
  <si>
    <t xml:space="preserve">ESS12 </t>
  </si>
  <si>
    <t xml:space="preserve">ESS34 </t>
  </si>
  <si>
    <t xml:space="preserve">ESS18 </t>
  </si>
  <si>
    <t xml:space="preserve">ESS40 </t>
  </si>
  <si>
    <t>Monthly HSC Equipment Credit Card (CC) Payment Requiring Commission Adjustment report</t>
  </si>
  <si>
    <t>Jennifer.Li@Henryschein.ca</t>
  </si>
  <si>
    <t>E</t>
  </si>
  <si>
    <t>STEEL</t>
  </si>
  <si>
    <t>CONROY</t>
  </si>
  <si>
    <t>MOLL</t>
  </si>
  <si>
    <t>RAWSTHORNE</t>
  </si>
  <si>
    <t>BELAIR</t>
  </si>
  <si>
    <t>Jane.Wanstall@henryschein.ca</t>
  </si>
  <si>
    <t>ELENA LAMONT</t>
  </si>
  <si>
    <t>JDQ2012</t>
  </si>
  <si>
    <t>Customer Sales History on 2012 JDQ Promotional Items</t>
  </si>
  <si>
    <t>QZ1B9</t>
  </si>
  <si>
    <t>config_ETU_Weekly_FSC_Sales.xml</t>
  </si>
  <si>
    <t>config_ETU_FSC_Comm.xml</t>
  </si>
  <si>
    <t>config_ETU_JDQ2012.xml</t>
  </si>
  <si>
    <t>config_ETU_EST_Comm.xml</t>
  </si>
  <si>
    <t>WZ1JW</t>
  </si>
  <si>
    <t>BLAIR HOKANSON</t>
  </si>
  <si>
    <t>Preeti.Amin@henryschein.ca</t>
  </si>
  <si>
    <t>ESS69</t>
  </si>
  <si>
    <t>Keegan.Dunn@henryschein.ca</t>
  </si>
  <si>
    <t>FSC Sales Mgr</t>
  </si>
  <si>
    <t>config_ETU_FSC_Sales_Mgr.xml</t>
  </si>
  <si>
    <t>ROBINS</t>
  </si>
  <si>
    <t>FANARA</t>
  </si>
  <si>
    <t>Bilingual Human Resources Consultant</t>
  </si>
  <si>
    <t>BORBELY</t>
  </si>
  <si>
    <t>LUKE</t>
  </si>
  <si>
    <t>POLNAU</t>
  </si>
  <si>
    <t>WANSTALL</t>
  </si>
  <si>
    <t>MCANDREW</t>
  </si>
  <si>
    <t>JARGAILLE</t>
  </si>
  <si>
    <t>ROXANNE</t>
  </si>
  <si>
    <t>ANTONELLI</t>
  </si>
  <si>
    <t>CARLA</t>
  </si>
  <si>
    <t>YOGENDRAN</t>
  </si>
  <si>
    <t>THURAISINGHAM</t>
  </si>
  <si>
    <t>GAUVREAU</t>
  </si>
  <si>
    <t>KOINYAN</t>
  </si>
  <si>
    <t>DUNN</t>
  </si>
  <si>
    <t>KEEGAN</t>
  </si>
  <si>
    <t>Planning &amp; Design Manager</t>
  </si>
  <si>
    <t>CZ1CP</t>
  </si>
  <si>
    <t>WESTON RICHARDS</t>
  </si>
  <si>
    <t/>
  </si>
  <si>
    <t>Spcial Bonus No Statement</t>
  </si>
  <si>
    <t>Not on Plan no statement</t>
  </si>
  <si>
    <t>Manager No Statement</t>
  </si>
  <si>
    <t>BELA CSIKI</t>
  </si>
  <si>
    <t>2nd Terr - No Stat Sent</t>
  </si>
  <si>
    <t>2nd Terr TORNT No Stat Sent</t>
  </si>
  <si>
    <t>New FSC No Stat Sent</t>
  </si>
  <si>
    <t>Michelle.Hillaby@henryschein.ca</t>
  </si>
  <si>
    <t>WZ1MH</t>
  </si>
  <si>
    <t>BAH</t>
  </si>
  <si>
    <t>JAHRAI</t>
  </si>
  <si>
    <t>EL-KHOURY</t>
  </si>
  <si>
    <t>ZEINA</t>
  </si>
  <si>
    <t>Bilingual Office Support Coordinator</t>
  </si>
  <si>
    <t>FREEMAN</t>
  </si>
  <si>
    <t>BYRON</t>
  </si>
  <si>
    <t>ARGHIR</t>
  </si>
  <si>
    <t>NICOLAE</t>
  </si>
  <si>
    <t>WELNA</t>
  </si>
  <si>
    <t>TOMASZ</t>
  </si>
  <si>
    <t>DAVID MACGILLIVRAY</t>
  </si>
  <si>
    <t>ANDREW SAVOIE</t>
  </si>
  <si>
    <t>MARIUSZ SZELAG</t>
  </si>
  <si>
    <t>MARC COULOMBE</t>
  </si>
  <si>
    <t>MICHAEL CHILIBECK</t>
  </si>
  <si>
    <t>Brad.Pelletier@henryschein.ca</t>
  </si>
  <si>
    <t>QZ1BP</t>
  </si>
  <si>
    <t>Jason.Gangeau@henryschein.ca</t>
  </si>
  <si>
    <t>Stephen.Forster@henryschein.ca</t>
  </si>
  <si>
    <t>Tom.Mckay@henryschein.ca</t>
  </si>
  <si>
    <t>Kyle.Gibbard@henryschein.ca</t>
  </si>
  <si>
    <t>Jason.Polnau@henryschein.ca</t>
  </si>
  <si>
    <t>Stephane.Debernardi@henryschein.ca</t>
  </si>
  <si>
    <t>CZ1SD</t>
  </si>
  <si>
    <t>DEBERNARDI</t>
  </si>
  <si>
    <t>ProRepair Team Lead</t>
  </si>
  <si>
    <t>KIMBERLEY</t>
  </si>
  <si>
    <t>HILLABY</t>
  </si>
  <si>
    <t>ALRAYISS</t>
  </si>
  <si>
    <t>OMAR</t>
  </si>
  <si>
    <t>VIRGINIE</t>
  </si>
  <si>
    <t>PARIS</t>
  </si>
  <si>
    <t>GANGEAU</t>
  </si>
  <si>
    <t>MCKAY</t>
  </si>
  <si>
    <t>MURRAY SKINNER</t>
  </si>
  <si>
    <t>WES ERICKSON</t>
  </si>
  <si>
    <t>Dominic.Morneau@henryschein.ca</t>
  </si>
  <si>
    <t>Peter.Muscat@henryschein.ca</t>
  </si>
  <si>
    <t>Frank.Pedersen@henryschein.ca</t>
  </si>
  <si>
    <t>Ian.Doyle@henryschein.ca</t>
  </si>
  <si>
    <t>Will.Plenert@henryschein.ca</t>
  </si>
  <si>
    <t>Email ok</t>
  </si>
  <si>
    <t>Tom.Zalac@henryschein.ca</t>
  </si>
  <si>
    <t>Send Statement</t>
  </si>
  <si>
    <t>No Statement Sent</t>
  </si>
  <si>
    <t>BENOIT LAMBERT</t>
  </si>
  <si>
    <t>Razmig.Tatoulian@henryschein.ca</t>
  </si>
  <si>
    <t>QZ1RT</t>
  </si>
  <si>
    <t>Dana.Noreen@henryschein.ca</t>
  </si>
  <si>
    <t>Regulatory &amp; Quality Control Manager</t>
  </si>
  <si>
    <t>SZOSTAKOWSKI</t>
  </si>
  <si>
    <t>ALEX</t>
  </si>
  <si>
    <t>DOYLE</t>
  </si>
  <si>
    <t>EST - Service Installation Team Lead</t>
  </si>
  <si>
    <t>TATOULIAN</t>
  </si>
  <si>
    <t>RAZMIG</t>
  </si>
  <si>
    <t>EST - Bench and Install</t>
  </si>
  <si>
    <t>POPA</t>
  </si>
  <si>
    <t>CONSTANTIN</t>
  </si>
  <si>
    <t>PEDERSEN</t>
  </si>
  <si>
    <t>MUSCAT</t>
  </si>
  <si>
    <t>Manager, Hi-Tech</t>
  </si>
  <si>
    <t>GIBBARD</t>
  </si>
  <si>
    <t>PARISLOFF</t>
  </si>
  <si>
    <t>Bryan.Parisloff@henryschein.ca</t>
  </si>
  <si>
    <t>NOREEN</t>
  </si>
  <si>
    <t>DANA</t>
  </si>
  <si>
    <t>ESPANOL</t>
  </si>
  <si>
    <t>ABBADIE</t>
  </si>
  <si>
    <t>MOUNIR</t>
  </si>
  <si>
    <t>ZALAC</t>
  </si>
  <si>
    <t>MAURICE ST_GERMAIN</t>
  </si>
  <si>
    <t>WZ1DL</t>
  </si>
  <si>
    <t>Retuned from LOA (Not State)</t>
  </si>
  <si>
    <t>Shawn.Stevens@henryschein.ca</t>
  </si>
  <si>
    <t>CYNTHIA WEAVER</t>
  </si>
  <si>
    <t>JASON GANGEAU</t>
  </si>
  <si>
    <t>Greg.Vandermeer@henryschein.ca</t>
  </si>
  <si>
    <t>John.Luong@henryschein.ca</t>
  </si>
  <si>
    <t>DOUGLAS JONES</t>
  </si>
  <si>
    <t>MICHAEL WEISS</t>
  </si>
  <si>
    <t>STEVEN BLAMIRE</t>
  </si>
  <si>
    <t>Scott.Thornton@henryschein.ca</t>
  </si>
  <si>
    <t>Danelle.Fulawka@henryschein.ca</t>
  </si>
  <si>
    <t>Greg.Christensen@henryschein.ca</t>
  </si>
  <si>
    <t>Josee.Cherfan@henryschein.ca</t>
  </si>
  <si>
    <t>Audrey.Wiens@henryschein.ca</t>
  </si>
  <si>
    <t>Alain.Daoust@henryschein.ca</t>
  </si>
  <si>
    <t>Scott.Kennedy@henryschein.ca</t>
  </si>
  <si>
    <t>Anthony.Archer@henryschein.ca</t>
  </si>
  <si>
    <t>Jason.Brown@henryschein.ca</t>
  </si>
  <si>
    <t>Bob.Almasi@henryschein.ca</t>
  </si>
  <si>
    <t>Prashant.Ohri@henryschein.ca</t>
  </si>
  <si>
    <t>TOR02</t>
  </si>
  <si>
    <t>M</t>
  </si>
  <si>
    <t>New MNGR</t>
  </si>
  <si>
    <t>DUNHAM</t>
  </si>
  <si>
    <t>TRAPASSO</t>
  </si>
  <si>
    <t>MARTINS</t>
  </si>
  <si>
    <t>GERVAZIO</t>
  </si>
  <si>
    <t>JOE - inactive</t>
  </si>
  <si>
    <t>FITZGERALD</t>
  </si>
  <si>
    <t>JONATHAN - inactive</t>
  </si>
  <si>
    <t>JEFF - inactive</t>
  </si>
  <si>
    <t>BOB - inactive</t>
  </si>
  <si>
    <t>Infrastructure Development Manager</t>
  </si>
  <si>
    <t>MELANIE - inactive</t>
  </si>
  <si>
    <t>LINDA - inactive</t>
  </si>
  <si>
    <t>HATTIN</t>
  </si>
  <si>
    <t>DIBIASI</t>
  </si>
  <si>
    <t>Purchasing Clerk</t>
  </si>
  <si>
    <t>VANDERMEER</t>
  </si>
  <si>
    <t>GREG - inactive</t>
  </si>
  <si>
    <t>Danny.Naami@henryschein.ca</t>
  </si>
  <si>
    <t>WZ1DN</t>
  </si>
  <si>
    <t>Kira.Jones@henryschein.ca</t>
  </si>
  <si>
    <t>CZ2KJ</t>
  </si>
  <si>
    <t>WZ129</t>
  </si>
  <si>
    <t>Luc.Bertrand@henryschein.ca</t>
  </si>
  <si>
    <t>Cory.Shumila@henryschein.ca</t>
  </si>
  <si>
    <t>KLEIN</t>
  </si>
  <si>
    <t>DENTY</t>
  </si>
  <si>
    <t>LUONG</t>
  </si>
  <si>
    <t>NAAMI</t>
  </si>
  <si>
    <t>CASTRO</t>
  </si>
  <si>
    <t>SERGIO</t>
  </si>
  <si>
    <t>MEADOWS</t>
  </si>
  <si>
    <t>CARA</t>
  </si>
  <si>
    <t>LANDON</t>
  </si>
  <si>
    <t>BEZANSON</t>
  </si>
  <si>
    <t>Web Developer</t>
  </si>
  <si>
    <t>KIRA</t>
  </si>
  <si>
    <t>COCHRANE</t>
  </si>
  <si>
    <t>Software Sales Specialist</t>
  </si>
  <si>
    <t>LUI</t>
  </si>
  <si>
    <t>COUTU</t>
  </si>
  <si>
    <t>COM</t>
  </si>
  <si>
    <t>ZEYNEP</t>
  </si>
  <si>
    <t>ROCHE</t>
  </si>
  <si>
    <t>KEVIN KULBABA</t>
  </si>
  <si>
    <t>ARCHIE NICHOLSON</t>
  </si>
  <si>
    <t>Charles.Ivy@henryschein.ca</t>
  </si>
  <si>
    <t>AZ1CI</t>
  </si>
  <si>
    <t>New FSC (And EST)</t>
  </si>
  <si>
    <t>Halifax/Labnet</t>
  </si>
  <si>
    <t>SKINNER_MURRAY</t>
  </si>
  <si>
    <t>Developer</t>
  </si>
  <si>
    <t>Developer Team Supervisor</t>
  </si>
  <si>
    <t>Inventory Clerk</t>
  </si>
  <si>
    <t>LAMONT.</t>
  </si>
  <si>
    <t>Telesales Representative</t>
  </si>
  <si>
    <t>GULAK_RANDY</t>
  </si>
  <si>
    <t>HEIDRICK_RICHARD</t>
  </si>
  <si>
    <t>EST/EST Hi-Tech</t>
  </si>
  <si>
    <t>SHUMILA</t>
  </si>
  <si>
    <t>CORY</t>
  </si>
  <si>
    <t>PRASAD</t>
  </si>
  <si>
    <t>SHAILENDRA</t>
  </si>
  <si>
    <t>RUBIA</t>
  </si>
  <si>
    <t>ROSELLA</t>
  </si>
  <si>
    <t>IMPIDUGLIA</t>
  </si>
  <si>
    <t>GIUSEPPINA</t>
  </si>
  <si>
    <t>DER BOGHOSSIAN</t>
  </si>
  <si>
    <t>ALENE</t>
  </si>
  <si>
    <t>SHELLY</t>
  </si>
  <si>
    <t>PIPER</t>
  </si>
  <si>
    <t>John.Goodwin@henryschein.ca</t>
  </si>
  <si>
    <t>Rob.Hinks@henryschein.ca</t>
  </si>
  <si>
    <t>Top15</t>
  </si>
  <si>
    <t>config_ETU_FSC_Top_15.xml</t>
  </si>
  <si>
    <t>FSC Top 15</t>
  </si>
  <si>
    <t>DAVID GOOSSENS</t>
  </si>
  <si>
    <t>DOUG WHITE</t>
  </si>
  <si>
    <t>HINKS</t>
  </si>
  <si>
    <t>NEBA</t>
  </si>
  <si>
    <t>PATIENCE</t>
  </si>
  <si>
    <t>DROLET</t>
  </si>
  <si>
    <t>KARINE</t>
  </si>
  <si>
    <t>GATES</t>
  </si>
  <si>
    <t>KAPSA</t>
  </si>
  <si>
    <t>IVY</t>
  </si>
  <si>
    <t>CHARLES</t>
  </si>
  <si>
    <t>MARION-RICARD</t>
  </si>
  <si>
    <t>DANY</t>
  </si>
  <si>
    <t>MCCOY</t>
  </si>
  <si>
    <t>RUTH-MARIE</t>
  </si>
  <si>
    <t>OKHUOS</t>
  </si>
  <si>
    <t>Jack.Freeborn@henryschein.ca</t>
  </si>
  <si>
    <t>CZ1JF</t>
  </si>
  <si>
    <t>Kevin.Miller@henryschein.ca</t>
  </si>
  <si>
    <t>CZ1KM</t>
  </si>
  <si>
    <t>Sales Consultant/EST</t>
  </si>
  <si>
    <t>DE_LERY</t>
  </si>
  <si>
    <t>DE_LORENZI</t>
  </si>
  <si>
    <t>ST_GERMAIN</t>
  </si>
  <si>
    <t>LILES.</t>
  </si>
  <si>
    <t>VANDER_VEKEN</t>
  </si>
  <si>
    <t>DU_VALL</t>
  </si>
  <si>
    <t>HR Coordinator</t>
  </si>
  <si>
    <t>Inventory Management Supervisor</t>
  </si>
  <si>
    <t>DE_ROECK</t>
  </si>
  <si>
    <t>GARCIA_DE_CANUL</t>
  </si>
  <si>
    <t>R_GREY</t>
  </si>
  <si>
    <t>VAN_NIEKERK</t>
  </si>
  <si>
    <t>LEUNG</t>
  </si>
  <si>
    <t>WILLSON</t>
  </si>
  <si>
    <t>VALLIERES_ST-GELAIS</t>
  </si>
  <si>
    <t>FREEBORN</t>
  </si>
  <si>
    <t>KARALYN</t>
  </si>
  <si>
    <t>KROMIDAKIS</t>
  </si>
  <si>
    <t>STEFANOS</t>
  </si>
  <si>
    <t>BREMER</t>
  </si>
  <si>
    <t>DROUIN</t>
  </si>
  <si>
    <t>LOUIS</t>
  </si>
  <si>
    <t>DITECCO</t>
  </si>
  <si>
    <t>EVERTON</t>
  </si>
  <si>
    <t>GOMEZ</t>
  </si>
  <si>
    <t>MARTHA</t>
  </si>
  <si>
    <t>CHENIER</t>
  </si>
  <si>
    <t>ST_HILAIRE</t>
  </si>
  <si>
    <t>FSC/ESS</t>
  </si>
  <si>
    <t>Warehouse Coordinator</t>
  </si>
  <si>
    <t>DEL_MONTE</t>
  </si>
  <si>
    <t>JOHN_PETER</t>
  </si>
  <si>
    <t>EDDY MITROVIC</t>
  </si>
  <si>
    <t>LUC BERTRAND</t>
  </si>
  <si>
    <t>COLOMAN LIPNICZKY</t>
  </si>
  <si>
    <t>MNGR Top 15</t>
  </si>
  <si>
    <t>config_ETU_MNG_Top_15.xml</t>
  </si>
  <si>
    <t>TOR04</t>
  </si>
  <si>
    <t>Not FSC CC, Statement Not Sent</t>
  </si>
  <si>
    <t>JACQUES CREVIER</t>
  </si>
  <si>
    <t>Stefanos.Kromidakis@henryschein.ca</t>
  </si>
  <si>
    <t>Martha.Gomez@henryschein.ca</t>
  </si>
  <si>
    <t>Dany.Ricard@henryschein.ca</t>
  </si>
  <si>
    <t>DC Support, Receiving</t>
  </si>
  <si>
    <t>EST Hi-Tech Team Lead</t>
  </si>
  <si>
    <t>Zahn FSC</t>
  </si>
  <si>
    <t>BATE BAIYEE</t>
  </si>
  <si>
    <t>STIRLING</t>
  </si>
  <si>
    <t>Consultant</t>
  </si>
  <si>
    <t>Barbara.Brown@henryschein.ca</t>
  </si>
  <si>
    <t>Bill.Dowe@ZahnCanada.ca</t>
  </si>
  <si>
    <t>Zahn</t>
  </si>
  <si>
    <t>FSCBook</t>
  </si>
  <si>
    <t>Statement Sent</t>
  </si>
  <si>
    <t>Francois.Caron-Soucy@henryschein.ca</t>
  </si>
  <si>
    <t>Tyler.Mcclendon@henryschein.ca</t>
  </si>
  <si>
    <t>WZ1TM</t>
  </si>
  <si>
    <t>Regional Sales Manager, Quebec Zone</t>
  </si>
  <si>
    <t>LOVE.</t>
  </si>
  <si>
    <t>CHARBONNEAU.</t>
  </si>
  <si>
    <t>Exclusive Product Specialist</t>
  </si>
  <si>
    <t>Install Project Manager</t>
  </si>
  <si>
    <t>NILSSON</t>
  </si>
  <si>
    <t>WANDA</t>
  </si>
  <si>
    <t>MCCLENDON</t>
  </si>
  <si>
    <t>EASTHOPE</t>
  </si>
  <si>
    <t>CARON-SOUCY</t>
  </si>
  <si>
    <t>LEWIS</t>
  </si>
  <si>
    <t>BERNARD HARVEY</t>
  </si>
  <si>
    <t>Olivia.Vickovich@henryschein.ca</t>
  </si>
  <si>
    <t>CZ1OV</t>
  </si>
  <si>
    <t>WZ1PO</t>
  </si>
  <si>
    <t>Wahid.Alem@henryschein.ca</t>
  </si>
  <si>
    <t>Robert.Cluett@henryschein.ca</t>
  </si>
  <si>
    <t>Gorki.Nikolic@henryschein.ca</t>
  </si>
  <si>
    <t>Omar.Alrayiss@henryschein.ca</t>
  </si>
  <si>
    <t>Leon.Hall@henryschein.ca</t>
  </si>
  <si>
    <t>Jason.White@henryschein.ca</t>
  </si>
  <si>
    <t>Paul.Macdougall@henryschein.ca</t>
  </si>
  <si>
    <t>Alex.Szostakowski@henryschein.ca</t>
  </si>
  <si>
    <t>Al.Mawji@henryschein.ca</t>
  </si>
  <si>
    <t>WZ2AM</t>
  </si>
  <si>
    <t>Senior Accountant</t>
  </si>
  <si>
    <t>Jr. A/P Rep</t>
  </si>
  <si>
    <t>PAIGE - INACTIVE</t>
  </si>
  <si>
    <t>MAWJI</t>
  </si>
  <si>
    <t>ALMAYMOON</t>
  </si>
  <si>
    <t>BYRON - INACTIVE</t>
  </si>
  <si>
    <t>Equipment Credit Coordinator</t>
  </si>
  <si>
    <t>MURPHY</t>
  </si>
  <si>
    <t>PARKIN-ZENTI</t>
  </si>
  <si>
    <t>ZENTI</t>
  </si>
  <si>
    <t>Equipment Project Coordinator</t>
  </si>
  <si>
    <t>VICKOVICH</t>
  </si>
  <si>
    <t>OLIVIA</t>
  </si>
  <si>
    <t>ALEM</t>
  </si>
  <si>
    <t>OBEID WAHID</t>
  </si>
  <si>
    <t>SILVER</t>
  </si>
  <si>
    <t>CAISE_JOHN</t>
  </si>
  <si>
    <t>MARTHA GOMEZ</t>
  </si>
  <si>
    <t>Yannick.Senechal@henryschein.ca</t>
  </si>
  <si>
    <t>PAIGE - INACTIVE OGRODNICK</t>
  </si>
  <si>
    <t>Moved Branches New Emp #</t>
  </si>
  <si>
    <t>Karl.Lambert@henryschein.ca</t>
  </si>
  <si>
    <t>DEBORAH IVANY</t>
  </si>
  <si>
    <t>ANDREW SACKRIDER</t>
  </si>
  <si>
    <t>PREETI AMIN</t>
  </si>
  <si>
    <t>JAMES DIEHL</t>
  </si>
  <si>
    <t>TOM MCKAY</t>
  </si>
  <si>
    <t>DC Support, Pick Pack</t>
  </si>
  <si>
    <t>DC Support, Inventory Control</t>
  </si>
  <si>
    <t>DC Support, Receiving Control Desk</t>
  </si>
  <si>
    <t>DC Support, Truck Loader</t>
  </si>
  <si>
    <t>DC Support, Material Handler (Non-Machine)</t>
  </si>
  <si>
    <t>HORNE</t>
  </si>
  <si>
    <t>DC Support, Case Pick</t>
  </si>
  <si>
    <t>DC Support, Production</t>
  </si>
  <si>
    <t>DC Support, Material Handler/Machine Operator</t>
  </si>
  <si>
    <t>DC Support, Returns/Receiving</t>
  </si>
  <si>
    <t>DC Support, Inventory Control/Equipment (Astea)</t>
  </si>
  <si>
    <t>CAGUIA</t>
  </si>
  <si>
    <t>WILLIAM DE LEON</t>
  </si>
  <si>
    <t>MARION</t>
  </si>
  <si>
    <t>JANICK</t>
  </si>
  <si>
    <t>Software Sales Representative</t>
  </si>
  <si>
    <t>DOUCHKINA</t>
  </si>
  <si>
    <t>Senior Equipment Coordinator</t>
  </si>
  <si>
    <t>Mathias.Ouellette@henryschein.ca</t>
  </si>
  <si>
    <t>Adeel.Iqbal@henryschein.ca</t>
  </si>
  <si>
    <t>jeff.howe@henryschein.ca</t>
  </si>
  <si>
    <t>Inside Sales Representative</t>
  </si>
  <si>
    <t>LEBEAU</t>
  </si>
  <si>
    <t>OUELLETTE</t>
  </si>
  <si>
    <t>MATHIAS</t>
  </si>
  <si>
    <t>DEVINE</t>
  </si>
  <si>
    <t>IQBAL</t>
  </si>
  <si>
    <t>ADEEL</t>
  </si>
  <si>
    <t>MICHAEL HUNTER</t>
  </si>
  <si>
    <t>JIVAN DWARKA</t>
  </si>
  <si>
    <t>DANNY NAAMI</t>
  </si>
  <si>
    <t>NEVER Receive Statement</t>
  </si>
  <si>
    <t>QZ1JB</t>
  </si>
  <si>
    <t>QZ2JB</t>
  </si>
  <si>
    <t>Julie.Brosseau@henryschein.ca</t>
  </si>
  <si>
    <t>Jean-Pierre.Bourgeois@henryschein.ca</t>
  </si>
  <si>
    <t>Update</t>
  </si>
  <si>
    <t>Bruno.Gascon@henryschein.ca</t>
  </si>
  <si>
    <t>Robert.Horning@henryschein.ca</t>
  </si>
  <si>
    <t>QZ1BG</t>
  </si>
  <si>
    <t>WZ1RH</t>
  </si>
  <si>
    <t>Yanick.deMontigny@henryschein.ca</t>
  </si>
  <si>
    <t>Buyer/Inventoy Analyst</t>
  </si>
  <si>
    <t>NAGY</t>
  </si>
  <si>
    <t>Materials/Putaway (Equipment Operator)</t>
  </si>
  <si>
    <t>DAUREN</t>
  </si>
  <si>
    <t>DE MONTIGNY</t>
  </si>
  <si>
    <t>YANICK</t>
  </si>
  <si>
    <t>HORNING</t>
  </si>
  <si>
    <t>JAFFER</t>
  </si>
  <si>
    <t>SHENILA</t>
  </si>
  <si>
    <t>MACPHERSON</t>
  </si>
  <si>
    <t>BROSSEAU</t>
  </si>
  <si>
    <t>MICKEY</t>
  </si>
  <si>
    <t>Purchasing Analyst/Buyer</t>
  </si>
  <si>
    <t>GASCON</t>
  </si>
  <si>
    <t>BOURGEOIS</t>
  </si>
  <si>
    <t>JEAN-PIERRE</t>
  </si>
  <si>
    <t>EVANS</t>
  </si>
  <si>
    <t>EVAN</t>
  </si>
  <si>
    <t>Information Technology Assistant</t>
  </si>
  <si>
    <t>Service Supervisor</t>
  </si>
  <si>
    <t>Simon.Vaudry@henryschein.ca</t>
  </si>
  <si>
    <t>SERGE LACROIX</t>
  </si>
  <si>
    <t>Not FSC</t>
  </si>
  <si>
    <t>VEERASAMIE</t>
  </si>
  <si>
    <t>ROHBECK</t>
  </si>
  <si>
    <t>FELIX</t>
  </si>
  <si>
    <t>CARR</t>
  </si>
  <si>
    <t>HARDING</t>
  </si>
  <si>
    <t>ELLWYN</t>
  </si>
  <si>
    <t>BRIGDEN</t>
  </si>
  <si>
    <t>TRIVISONNO</t>
  </si>
  <si>
    <t>CARMINE</t>
  </si>
  <si>
    <t>KADHIM</t>
  </si>
  <si>
    <t>HANNAH</t>
  </si>
  <si>
    <t>VAUDRY</t>
  </si>
  <si>
    <t>RUDDOCK</t>
  </si>
  <si>
    <t>CORNELL</t>
  </si>
  <si>
    <t>AUGER</t>
  </si>
  <si>
    <t>LUCIE</t>
  </si>
  <si>
    <t>Ted.Moulis@henryschein.ca</t>
  </si>
  <si>
    <t>CZ1TM</t>
  </si>
  <si>
    <t>Cornell.Ruddock@zahncanada.ca</t>
  </si>
  <si>
    <t>CZ2CR</t>
  </si>
  <si>
    <t>MF</t>
  </si>
  <si>
    <t>F2</t>
  </si>
  <si>
    <t>x</t>
  </si>
  <si>
    <t>CHARLES IVY</t>
  </si>
  <si>
    <t>JEFF HECKBERT</t>
  </si>
  <si>
    <t>MARK (GORDON) GRANT</t>
  </si>
  <si>
    <t>RICHARD WONG</t>
  </si>
  <si>
    <t>KELLY FRADETTE</t>
  </si>
  <si>
    <t>RYAN MILLER</t>
  </si>
  <si>
    <t>SHAWN BARNACLE</t>
  </si>
  <si>
    <t>STEVEN PARK</t>
  </si>
  <si>
    <t>NICOLAS DUFOUR</t>
  </si>
  <si>
    <t>JONATHAN MCKNIGHT</t>
  </si>
  <si>
    <t>R_GREY KNECHTEL</t>
  </si>
  <si>
    <t>JASON CARWAY</t>
  </si>
  <si>
    <t>DEAN POLLARD</t>
  </si>
  <si>
    <t>GRANT GAUDES</t>
  </si>
  <si>
    <t>M2</t>
  </si>
  <si>
    <t>ROBERT BRUNELLE</t>
  </si>
  <si>
    <t>CC Report to be set up</t>
  </si>
  <si>
    <t>FR</t>
  </si>
  <si>
    <t>DOUGLAS HOPKINS</t>
  </si>
  <si>
    <t>MANON OUIMET</t>
  </si>
  <si>
    <t>Clean up Email File</t>
  </si>
  <si>
    <t>Monique.Konkin@henryschein.ca</t>
  </si>
  <si>
    <t>Name Change (From Church to Konkin)</t>
  </si>
  <si>
    <t>WZ1SS</t>
  </si>
  <si>
    <t>Old Code for Comm Only</t>
  </si>
  <si>
    <t>Remove</t>
  </si>
  <si>
    <t>KONKIN</t>
  </si>
  <si>
    <t>Prosthetic Solutions Specialist</t>
  </si>
  <si>
    <t>E-Services Training Coordinator, Support Technician</t>
  </si>
  <si>
    <t>MOULIS</t>
  </si>
  <si>
    <t>THEODOROS</t>
  </si>
  <si>
    <t>ROSTAMI</t>
  </si>
  <si>
    <t>HESAM</t>
  </si>
  <si>
    <t>KEPECS</t>
  </si>
  <si>
    <t>ELANA</t>
  </si>
  <si>
    <t>BHELA</t>
  </si>
  <si>
    <t>RANDEEP</t>
  </si>
  <si>
    <t>National Customer Service Manager</t>
  </si>
  <si>
    <t>CARTEN</t>
  </si>
  <si>
    <t>DALE RICHER</t>
  </si>
  <si>
    <t>LEROY OPP</t>
  </si>
  <si>
    <t>2nd Terr-Cust moved to CZ8J1</t>
  </si>
  <si>
    <t>Mark.Carten@henryschein.ca</t>
  </si>
  <si>
    <t>Rene.Erskine@henryschein.ca</t>
  </si>
  <si>
    <t>Michael.Vaillancourt@henryschein.ca</t>
  </si>
  <si>
    <t>JEFF ADAMSKI</t>
  </si>
  <si>
    <t>1762a</t>
  </si>
  <si>
    <t>National Customer Service Support</t>
  </si>
  <si>
    <t>HOWE_STEPHEN</t>
  </si>
  <si>
    <t>DONOHUE</t>
  </si>
  <si>
    <t>COSPER</t>
  </si>
  <si>
    <t>MOSSELLI</t>
  </si>
  <si>
    <t>KATHARINE</t>
  </si>
  <si>
    <t>HEDDEN</t>
  </si>
  <si>
    <t>Facilities Maintenance</t>
  </si>
  <si>
    <t>ERSKINE</t>
  </si>
  <si>
    <t>RENE</t>
  </si>
  <si>
    <t>VAILLANCOURT</t>
  </si>
  <si>
    <t>HEATON</t>
  </si>
  <si>
    <t>Scott.Cosper@henryschein.ca</t>
  </si>
  <si>
    <t>WZ1SC</t>
  </si>
  <si>
    <t>Concur Expense Reports Administrator</t>
  </si>
  <si>
    <t>Manager, NSP &amp; Returns</t>
  </si>
  <si>
    <t>SUNG</t>
  </si>
  <si>
    <t>Surgical Specialist</t>
  </si>
  <si>
    <t>MONETTE-CHARBONNEAU</t>
  </si>
  <si>
    <t>JUTZI</t>
  </si>
  <si>
    <t>DUCKWORTH</t>
  </si>
  <si>
    <t>Director, Strategic Business Development - Quebec Zone</t>
  </si>
  <si>
    <t>ERIC TREPANIER</t>
  </si>
  <si>
    <t>DOUGLAS HIRST</t>
  </si>
  <si>
    <t>Sean.Mcgrattan@henryschein.ca</t>
  </si>
  <si>
    <t>Ciro.Mantilla@henryschein.ca</t>
  </si>
  <si>
    <t>Carl.Donohue@henryschein.ca</t>
  </si>
  <si>
    <t>WZ1CE</t>
  </si>
  <si>
    <t>Nicolas.Lebel@henryschein.ca</t>
  </si>
  <si>
    <t>Peter.Morris@henryschein.ca</t>
  </si>
  <si>
    <t>CZ1SM</t>
  </si>
  <si>
    <t>DANNY LAING</t>
  </si>
  <si>
    <t>_3012</t>
  </si>
  <si>
    <t>Moved Branches [Old CZ2PO]</t>
  </si>
  <si>
    <t>Charles.Gilbert@henryschein.ca</t>
  </si>
  <si>
    <t>MARIE-FRANCE CHARRON</t>
  </si>
  <si>
    <t>MARALEE MILLER</t>
  </si>
  <si>
    <t>Transferred - No Terr</t>
  </si>
  <si>
    <t>ROBERT HORNING</t>
  </si>
  <si>
    <t>Jenna.Plenert@henryschein.ca</t>
  </si>
  <si>
    <t>PING</t>
  </si>
  <si>
    <t>SKIDMORE</t>
  </si>
  <si>
    <t>MCGRATTAN</t>
  </si>
  <si>
    <t>SEAN</t>
  </si>
  <si>
    <t>VESPERA</t>
  </si>
  <si>
    <t>Senior Buyer - Team Lead</t>
  </si>
  <si>
    <t>STELMASCHUK</t>
  </si>
  <si>
    <t>CHARLES-ETIENNE</t>
  </si>
  <si>
    <t>JESSE</t>
  </si>
  <si>
    <t>LEBEL</t>
  </si>
  <si>
    <t>Trevor.Stelmaschuk@henryschein.ca</t>
  </si>
  <si>
    <t>Jesse.Sale@henryschein.ca</t>
  </si>
  <si>
    <t>Dustin.Bedard@henryschein.ca</t>
  </si>
  <si>
    <t>Dan.Valenzuela@henryschein.ca</t>
  </si>
  <si>
    <t>MICHELE SEGUIN</t>
  </si>
  <si>
    <t>Pierre-Luc.Charbonneau@henryschein.ca</t>
  </si>
  <si>
    <t>Receives D.Monette Top 15</t>
  </si>
  <si>
    <t>COWIE</t>
  </si>
  <si>
    <t>DUSTIN</t>
  </si>
  <si>
    <t>MCCARDLE</t>
  </si>
  <si>
    <t>Service Coordinator &amp; Warehouse Support</t>
  </si>
  <si>
    <t>NCUBE</t>
  </si>
  <si>
    <t>FONTAINE</t>
  </si>
  <si>
    <t>ZDROJEWSKI</t>
  </si>
  <si>
    <t>Practice Management Software &amp; eServices Business Manager</t>
  </si>
  <si>
    <t>_3144</t>
  </si>
  <si>
    <t>Marc.Zdrojewski@henryschein.com</t>
  </si>
  <si>
    <t>END OF ACTIVE RECORDS</t>
  </si>
  <si>
    <t>New Admin</t>
  </si>
  <si>
    <t>Lyndon.Perrault@henryschein.ca</t>
  </si>
  <si>
    <t>Peter.Bogdanich@henryschein.ca</t>
  </si>
  <si>
    <t>WZ1PB</t>
  </si>
  <si>
    <t>Rick.Stamm@henryschein.ca</t>
  </si>
  <si>
    <t>Xavier.Bourret@henryschein.ca</t>
  </si>
  <si>
    <t>New EST (And FSC)</t>
  </si>
  <si>
    <t>DAVID LANGTON</t>
  </si>
  <si>
    <t>ROSS BEAULIEU</t>
  </si>
  <si>
    <t>JASON WHITE</t>
  </si>
  <si>
    <t>SHAWN STEVENS</t>
  </si>
  <si>
    <t>Jeanette.Noronha@henryschein.ca</t>
  </si>
  <si>
    <t>WZ1JN</t>
  </si>
  <si>
    <t>Senior Customer Service Representative</t>
  </si>
  <si>
    <t>DC Support, Print Room</t>
  </si>
  <si>
    <t>Sales Manager, BC Zone</t>
  </si>
  <si>
    <t>BOGDANICH</t>
  </si>
  <si>
    <t>PIETRO</t>
  </si>
  <si>
    <t>STAMM</t>
  </si>
  <si>
    <t>PERRAULT</t>
  </si>
  <si>
    <t>LYNDON</t>
  </si>
  <si>
    <t>NORONHA</t>
  </si>
  <si>
    <t>JEANETTE</t>
  </si>
  <si>
    <t>MEISTER</t>
  </si>
  <si>
    <t>STEIN</t>
  </si>
  <si>
    <t>MARTELOCK</t>
  </si>
  <si>
    <t>NEVILLE</t>
  </si>
  <si>
    <t>WOOD</t>
  </si>
  <si>
    <t>FLETCHER</t>
  </si>
  <si>
    <t>KATIE</t>
  </si>
  <si>
    <t>Bilingual Institutional Specialist</t>
  </si>
  <si>
    <t>Guy.Labbe@henryschein.ca</t>
  </si>
  <si>
    <t>Martin.Kurek@henryschein.ca</t>
  </si>
  <si>
    <t>WZ1MK</t>
  </si>
  <si>
    <t>QZ1X2</t>
  </si>
  <si>
    <t>Add 2nd Terr</t>
  </si>
  <si>
    <t>Surgical Product Specialist</t>
  </si>
  <si>
    <t>LABBE</t>
  </si>
  <si>
    <t>IT Specialist</t>
  </si>
  <si>
    <t>KUREK</t>
  </si>
  <si>
    <t>BRADY</t>
  </si>
  <si>
    <t>RODRIGO</t>
  </si>
  <si>
    <t>Service &amp; Equipment Coordinator</t>
  </si>
  <si>
    <t>THOMSEN</t>
  </si>
  <si>
    <t>TAVIS</t>
  </si>
  <si>
    <t>LEITCH</t>
  </si>
  <si>
    <t>DC Support, Bulk Receiver</t>
  </si>
  <si>
    <t>DC Support, Case Pick / Machine Operator</t>
  </si>
  <si>
    <t>Supervisor, Field Satisfaction</t>
  </si>
  <si>
    <t>WILLIAM PLENERT</t>
  </si>
  <si>
    <t>Tavis.Schwingboth@henryschein.ca</t>
  </si>
  <si>
    <t>MATHIAS OUELLETTE</t>
  </si>
  <si>
    <t>NICOLAS LEBEL</t>
  </si>
  <si>
    <t>PIERRE-LUC CHARBONNEAU</t>
  </si>
  <si>
    <t>TOR03</t>
  </si>
  <si>
    <t>Anoush.Ekmekjian@henryschein.ca</t>
  </si>
  <si>
    <t>WZ1AE</t>
  </si>
  <si>
    <t>Technology Solutions Supervisor</t>
  </si>
  <si>
    <t>Technology Solutions Support Representative</t>
  </si>
  <si>
    <t>Equipment Coordinator / Admin</t>
  </si>
  <si>
    <t>Technology Solutions Specialist</t>
  </si>
  <si>
    <t>Benefits &amp; Disability Management Representative</t>
  </si>
  <si>
    <t>Staffing Representative</t>
  </si>
  <si>
    <t>EKMEKJIAN</t>
  </si>
  <si>
    <t>ANOUSH</t>
  </si>
  <si>
    <t>GRABHAM</t>
  </si>
  <si>
    <t>AMIDAO</t>
  </si>
  <si>
    <t>AMERO</t>
  </si>
  <si>
    <t>BENASSI</t>
  </si>
  <si>
    <t>Staffing Specialist</t>
  </si>
  <si>
    <t>OWEN</t>
  </si>
  <si>
    <t>CSR Teeth Supervisor</t>
  </si>
  <si>
    <t>Carla.Amero@henryschein.ca</t>
  </si>
  <si>
    <t>WZ1CA</t>
  </si>
  <si>
    <t>John.Meredith@henryschein.ca</t>
  </si>
  <si>
    <t>MEREDITH</t>
  </si>
  <si>
    <t>Sylvain.Allard@henryschein.ca</t>
  </si>
  <si>
    <t>VAC01</t>
  </si>
  <si>
    <t>VAC02</t>
  </si>
  <si>
    <t>VAC03</t>
  </si>
  <si>
    <t>DC Supervisor, Receiving, Inventory Control &amp; Facilities Maintenance</t>
  </si>
  <si>
    <t>Lead Hand, Receiving &amp; Inventory Control</t>
  </si>
  <si>
    <t>Southwestern Ontario Equipment Manager</t>
  </si>
  <si>
    <t>Production Coordinator</t>
  </si>
  <si>
    <t>Inbound Coordinator</t>
  </si>
  <si>
    <t>NIXON</t>
  </si>
  <si>
    <t>Inventory Control/ Equipment Support</t>
  </si>
  <si>
    <t>PIEPGRASS</t>
  </si>
  <si>
    <t>TAILOR</t>
  </si>
  <si>
    <t>ANANTKUMAR</t>
  </si>
  <si>
    <t>KHAN</t>
  </si>
  <si>
    <t>MUHAMMAD</t>
  </si>
  <si>
    <t>O'MURTAGH</t>
  </si>
  <si>
    <t>Customer Service Supervisor</t>
  </si>
  <si>
    <t>LEDUC-MAYER</t>
  </si>
  <si>
    <t>ALBAN</t>
  </si>
  <si>
    <t>ALLARD</t>
  </si>
  <si>
    <t>LECLAIR-HAMEL</t>
  </si>
  <si>
    <t>Operations Support Ottawa</t>
  </si>
  <si>
    <t>Nathan.Piepgrass@henryschein.ca</t>
  </si>
  <si>
    <t>JOE LIPNICZKY</t>
  </si>
  <si>
    <t>HOVAKIM KELLEDJIAN</t>
  </si>
  <si>
    <t>MARTIN DAVID</t>
  </si>
  <si>
    <t>Robert.Salisbury@henryschein.ca</t>
  </si>
  <si>
    <t>WZ1RS</t>
  </si>
  <si>
    <t>New Territory</t>
  </si>
  <si>
    <t>Victoria.Grylls@henryschein.ca</t>
  </si>
  <si>
    <t>Dentrix &amp; Sales Support Administrator</t>
  </si>
  <si>
    <t>ABBASSI</t>
  </si>
  <si>
    <t>FOUAD</t>
  </si>
  <si>
    <t>MANN</t>
  </si>
  <si>
    <t>NINDER</t>
  </si>
  <si>
    <t>GRYLLS</t>
  </si>
  <si>
    <t>PARRY</t>
  </si>
  <si>
    <t>EDA</t>
  </si>
  <si>
    <t>Robert.Shandro@henryschein.ca</t>
  </si>
  <si>
    <t>VP, Special Markets</t>
  </si>
  <si>
    <t>Lead Hand - Material Handling</t>
  </si>
  <si>
    <t>Director, Marketing</t>
  </si>
  <si>
    <t>Medical Customer Service Representative (CSR) &amp; Inside Sales Representative</t>
  </si>
  <si>
    <t>SHANDRO</t>
  </si>
  <si>
    <t>MERCURE</t>
  </si>
  <si>
    <t>Marketing Administrator</t>
  </si>
  <si>
    <t>JUHOS</t>
  </si>
  <si>
    <t>LOOYESTEIN</t>
  </si>
  <si>
    <t>JACOB</t>
  </si>
  <si>
    <t>NORRIS</t>
  </si>
  <si>
    <t>GREGORY</t>
  </si>
  <si>
    <t>HAMID</t>
  </si>
  <si>
    <t>IMAMI</t>
  </si>
  <si>
    <t>ROBERT ALMASI</t>
  </si>
  <si>
    <t>Teresa.McNeil@henryschein.ca</t>
  </si>
  <si>
    <t>WZ2TM</t>
  </si>
  <si>
    <t>WZ2T1</t>
  </si>
  <si>
    <t>WZ2T2</t>
  </si>
  <si>
    <t>1st Terr EDMON</t>
  </si>
  <si>
    <t>FRANCOIS CARON-SOUCY</t>
  </si>
  <si>
    <t>Erikka.Gilmore@henryschein.ca</t>
  </si>
  <si>
    <t>WZ1EG</t>
  </si>
  <si>
    <t>Inventory Control/Materials Leadhand</t>
  </si>
  <si>
    <t>Parts Returns Coordinator Vancouver</t>
  </si>
  <si>
    <t>Equip Manager Western Zone</t>
  </si>
  <si>
    <t>MCNEIL</t>
  </si>
  <si>
    <t>GILMORE</t>
  </si>
  <si>
    <t>ERIKKA</t>
  </si>
  <si>
    <t>KINASH</t>
  </si>
  <si>
    <t>ROERICK</t>
  </si>
  <si>
    <t>PECASKI</t>
  </si>
  <si>
    <t>CULLEY</t>
  </si>
  <si>
    <t>WILLIAMSON</t>
  </si>
  <si>
    <t>TRUONG</t>
  </si>
  <si>
    <t>FSC - Corporate Brand Specialist London</t>
  </si>
  <si>
    <t>GHIAS.</t>
  </si>
  <si>
    <t>For Top 15 only</t>
  </si>
  <si>
    <t>2nd Terr EDMON, No Statement</t>
  </si>
  <si>
    <t>3rd Terr VACVR, Np Statement</t>
  </si>
  <si>
    <t>WZ1FA</t>
  </si>
  <si>
    <t>Outbound Sales Representative</t>
  </si>
  <si>
    <t>ST. PETER</t>
  </si>
  <si>
    <t>Telesales</t>
  </si>
  <si>
    <t>GROSSI.</t>
  </si>
  <si>
    <t>CHARLIE</t>
  </si>
  <si>
    <t>AZARKO</t>
  </si>
  <si>
    <t>MCGEE</t>
  </si>
  <si>
    <t>PAN</t>
  </si>
  <si>
    <t>DESJARDINS</t>
  </si>
  <si>
    <t>AMITIS</t>
  </si>
  <si>
    <t>Zahn Sales Support Representative</t>
  </si>
  <si>
    <t>WZ1JA</t>
  </si>
  <si>
    <t>Jenna.Azarko@henryschein.ca</t>
  </si>
  <si>
    <t>Brian.Kinash@henryschein.ca</t>
  </si>
  <si>
    <t>Melanie.Desjardins@henryschein.ca</t>
  </si>
  <si>
    <t>FSC GP</t>
  </si>
  <si>
    <t>config_ETU_FSC_GP.xml</t>
  </si>
  <si>
    <t>GPSummary</t>
  </si>
  <si>
    <t>David.Haskins@henryschein.ca</t>
  </si>
  <si>
    <t>David.Lai@henryschein.ca</t>
  </si>
  <si>
    <t>Brock.Crosson@henryschein.ca</t>
  </si>
  <si>
    <t>WZ1BC</t>
  </si>
  <si>
    <t>KATHERINE NIXON</t>
  </si>
  <si>
    <t>Sr Credit Rep NOTL</t>
  </si>
  <si>
    <t>Technical Service Specialist NOTL</t>
  </si>
  <si>
    <t>Marketing Specialist, Special Pricing Analyst</t>
  </si>
  <si>
    <t>SERGE D.</t>
  </si>
  <si>
    <t>DC Support, Inventory Control /Machine Operator</t>
  </si>
  <si>
    <t>DHILLON</t>
  </si>
  <si>
    <t>AJAYPAL</t>
  </si>
  <si>
    <t>CROSSON</t>
  </si>
  <si>
    <t>BROCK</t>
  </si>
  <si>
    <t>HASKINS</t>
  </si>
  <si>
    <t>HAYNEN</t>
  </si>
  <si>
    <t>COLGUR</t>
  </si>
  <si>
    <t>MARIE-NOELLE</t>
  </si>
  <si>
    <t>ST-GEORGES</t>
  </si>
  <si>
    <t>BAGGOTT</t>
  </si>
  <si>
    <t>NOUROOZI</t>
  </si>
  <si>
    <t>LAI</t>
  </si>
  <si>
    <t>CYR DES RUISSEAUX</t>
  </si>
  <si>
    <t>MATTEI</t>
  </si>
  <si>
    <t>MUSTAFA</t>
  </si>
  <si>
    <t>MOHANAD</t>
  </si>
  <si>
    <t>Hi Tech Solutions Specialist</t>
  </si>
  <si>
    <t>Digital Dental Exchange Practice Activation Representative</t>
  </si>
  <si>
    <t>LEVITZ</t>
  </si>
  <si>
    <t>Senior Financial Analyst</t>
  </si>
  <si>
    <t>DARON</t>
  </si>
  <si>
    <t>Ian.Colgur@henryschein.ca</t>
  </si>
  <si>
    <t>SIMON KEYWOOD</t>
  </si>
  <si>
    <t>LAURA BAUDER</t>
  </si>
  <si>
    <t>ALAIN DAOUST</t>
  </si>
  <si>
    <t>DENNIS SUTHERLAND</t>
  </si>
  <si>
    <t>QZ1MD</t>
  </si>
  <si>
    <t>JEAN-PIERRE BOURGEOIS</t>
  </si>
  <si>
    <t>Operations Manager - Prairie Zone</t>
  </si>
  <si>
    <t>FOBES</t>
  </si>
  <si>
    <t>KAI</t>
  </si>
  <si>
    <t>VISETH</t>
  </si>
  <si>
    <t>CHILA</t>
  </si>
  <si>
    <t>MUKADI</t>
  </si>
  <si>
    <t>DC Support, Case Pick / Material Handler</t>
  </si>
  <si>
    <t>EVRAIRE</t>
  </si>
  <si>
    <t>LINA</t>
  </si>
  <si>
    <t>VAUDIN</t>
  </si>
  <si>
    <t>CARO</t>
  </si>
  <si>
    <t>National Sales Conference Support</t>
  </si>
  <si>
    <t>HUGH YARDLEY</t>
  </si>
  <si>
    <t>DOMINIC MORNEAU</t>
  </si>
  <si>
    <t>Kai.Milkert@henryschein.ca</t>
  </si>
  <si>
    <t>Daron.Fisher@henryschein.ca</t>
  </si>
  <si>
    <t>Ivan.Sonicki@henryschein.ca</t>
  </si>
  <si>
    <t>Director, Equipment Portfolio Management</t>
  </si>
  <si>
    <t>Programmer/Analyst NOTL</t>
  </si>
  <si>
    <t>Financial Analyst</t>
  </si>
  <si>
    <t>Director, Equipment &amp; Technology</t>
  </si>
  <si>
    <t>Invent Cntrl Spec Vanc</t>
  </si>
  <si>
    <t>LAMB-MILKERT</t>
  </si>
  <si>
    <t>YVON</t>
  </si>
  <si>
    <t>ANTONIO</t>
  </si>
  <si>
    <t>GERARDO</t>
  </si>
  <si>
    <t>Digital Technical Support Manager</t>
  </si>
  <si>
    <t>LACHLAN</t>
  </si>
  <si>
    <t>DUPONT</t>
  </si>
  <si>
    <t>CALABRESE</t>
  </si>
  <si>
    <t>MARCO</t>
  </si>
  <si>
    <t>Pricing &amp; Quote Specialist</t>
  </si>
  <si>
    <t>GORKI NIKOLIC</t>
  </si>
  <si>
    <t>Joe.Lewis@henryschein.ca</t>
  </si>
  <si>
    <t>Mark.Moore@henryschein.ca</t>
  </si>
  <si>
    <t>Todd.Reynolds@henryschein.ca</t>
  </si>
  <si>
    <t>Richard.Peddle@henryschein.ca</t>
  </si>
  <si>
    <t>Chad.Piper@henryschein.ca</t>
  </si>
  <si>
    <t>FSC Toronto</t>
  </si>
  <si>
    <t>Senior A/R Collector</t>
  </si>
  <si>
    <t>Sales Support Montreal</t>
  </si>
  <si>
    <t>CSR Montreal</t>
  </si>
  <si>
    <t>EST - Serv Install Toronto</t>
  </si>
  <si>
    <t>CSR Halifax</t>
  </si>
  <si>
    <t>FSC/EST Saint John, N.B.</t>
  </si>
  <si>
    <t>EST Winnipeg</t>
  </si>
  <si>
    <t>Installation Supervisor</t>
  </si>
  <si>
    <t>ProRepair Technician Montreal</t>
  </si>
  <si>
    <t>Marketing &amp; Advertising Specialist</t>
  </si>
  <si>
    <t>CSR Supervisor NOTL</t>
  </si>
  <si>
    <t>Senior A/P Rep</t>
  </si>
  <si>
    <t>A/R Accounting &amp; Cash Application Representative</t>
  </si>
  <si>
    <t>CSR London</t>
  </si>
  <si>
    <t>Admin Coord NOTL</t>
  </si>
  <si>
    <t>AP Merchandise Rep</t>
  </si>
  <si>
    <t>EST Montreal</t>
  </si>
  <si>
    <t>FSC - Lab Montreal</t>
  </si>
  <si>
    <t>A/R Rep NOTL</t>
  </si>
  <si>
    <t>CSR Support Staff NOTL</t>
  </si>
  <si>
    <t>CSR Teeth Montreal</t>
  </si>
  <si>
    <t>ESS Toronto</t>
  </si>
  <si>
    <t>FSC Montreal</t>
  </si>
  <si>
    <t>EST Ottawa</t>
  </si>
  <si>
    <t>ESS Montreal</t>
  </si>
  <si>
    <t>DC Support NOTL</t>
  </si>
  <si>
    <t>Service Manager Montreal</t>
  </si>
  <si>
    <t>EST Toronto</t>
  </si>
  <si>
    <t>CSR Quebec City</t>
  </si>
  <si>
    <t>CSR/Equipment Coordinator Halifax</t>
  </si>
  <si>
    <t>Planning and Design Consultant Toronto</t>
  </si>
  <si>
    <t>CSR Regina</t>
  </si>
  <si>
    <t>FSC - Lab Toronto</t>
  </si>
  <si>
    <t>CSR Teeth Quebec City</t>
  </si>
  <si>
    <t>A/R Collector NOTL</t>
  </si>
  <si>
    <t>Service Coordinator Quebec City</t>
  </si>
  <si>
    <t>Dir of Human Resources</t>
  </si>
  <si>
    <t>CSR Toronto</t>
  </si>
  <si>
    <t>Account Customer Service Rep</t>
  </si>
  <si>
    <t>FSC London</t>
  </si>
  <si>
    <t>Administrative Assistant Montreal</t>
  </si>
  <si>
    <t>Receptionist Quebec City</t>
  </si>
  <si>
    <t>Service Coordinator NOTL</t>
  </si>
  <si>
    <t>Equip Coord Toronto</t>
  </si>
  <si>
    <t>DDI Technical Specialist Toronto</t>
  </si>
  <si>
    <t>ROBINS.</t>
  </si>
  <si>
    <t>EST - Serv Install Mont</t>
  </si>
  <si>
    <t>Planning &amp; Design Consultant Montreal</t>
  </si>
  <si>
    <t>Service Coordinator/CSR Winnipeg</t>
  </si>
  <si>
    <t>Regulatory &amp; Customs Specialist</t>
  </si>
  <si>
    <t>EST High Tech Ottawa</t>
  </si>
  <si>
    <t>FSC Quebec City</t>
  </si>
  <si>
    <t>Service Coordinator/Dispatcher Montreal</t>
  </si>
  <si>
    <t>DAGHER.</t>
  </si>
  <si>
    <t>DC Support Driver Toronto</t>
  </si>
  <si>
    <t>ProRepair Technician Toronto</t>
  </si>
  <si>
    <t>Senior A/R Representative</t>
  </si>
  <si>
    <t>CSR Vancouver</t>
  </si>
  <si>
    <t>DC Manager Vancouver</t>
  </si>
  <si>
    <t>HSPS Core Product Specialist  (CPS)</t>
  </si>
  <si>
    <t>Technical Support Specialist Vancouver</t>
  </si>
  <si>
    <t>DC Support L H Calgary</t>
  </si>
  <si>
    <t>DC Support Calgary</t>
  </si>
  <si>
    <t>Planning and Design Consultant Vancouver</t>
  </si>
  <si>
    <t>Trainer - PMTS Calgary</t>
  </si>
  <si>
    <t>DC Supervisor Calgary</t>
  </si>
  <si>
    <t>Service Coordinator Vancouver</t>
  </si>
  <si>
    <t>CSR Calgary</t>
  </si>
  <si>
    <t>CSR Victoria</t>
  </si>
  <si>
    <t>CSR Edmonton</t>
  </si>
  <si>
    <t>ProRepair Technician Vancouver</t>
  </si>
  <si>
    <t>FSC Vancouver</t>
  </si>
  <si>
    <t>FSC Calgary</t>
  </si>
  <si>
    <t>FSC - Medical Calgary</t>
  </si>
  <si>
    <t>EST  Victoria</t>
  </si>
  <si>
    <t>EST Edmonton</t>
  </si>
  <si>
    <t>EST Calgary</t>
  </si>
  <si>
    <t>EST Regina</t>
  </si>
  <si>
    <t>Senior Equipment Service Technician (Senior EST)</t>
  </si>
  <si>
    <t>FSC - Lab Edmonton</t>
  </si>
  <si>
    <t>EST - Serv Install Calgary</t>
  </si>
  <si>
    <t>HENDERSON</t>
  </si>
  <si>
    <t>DEVEN</t>
  </si>
  <si>
    <t>LENTON</t>
  </si>
  <si>
    <t>JULIA</t>
  </si>
  <si>
    <t>Programmer</t>
  </si>
  <si>
    <t>DEGIULI</t>
  </si>
  <si>
    <t>BLAIS</t>
  </si>
  <si>
    <t>WISMER</t>
  </si>
  <si>
    <t>Digital CAD/CAM Specialist</t>
  </si>
  <si>
    <t>CORBIN</t>
  </si>
  <si>
    <t>ProRepair Bench Technician</t>
  </si>
  <si>
    <t>NUR</t>
  </si>
  <si>
    <t>ANISA</t>
  </si>
  <si>
    <t>PETROS</t>
  </si>
  <si>
    <t>BANASZKIEWICZ</t>
  </si>
  <si>
    <t>JAKUB</t>
  </si>
  <si>
    <t>LINDSAY</t>
  </si>
  <si>
    <t>TIFFANY</t>
  </si>
  <si>
    <t>STANLEY</t>
  </si>
  <si>
    <t>SCHULER</t>
  </si>
  <si>
    <t>ESS Halifax</t>
  </si>
  <si>
    <t>EST/FSC Ottawa</t>
  </si>
  <si>
    <t>CSR Receptionist</t>
  </si>
  <si>
    <t>CSR Ottawa</t>
  </si>
  <si>
    <t>DC Support Driver Ottawa</t>
  </si>
  <si>
    <t>CSR Teeth Winnipeg</t>
  </si>
  <si>
    <t>CSR Winnipeg</t>
  </si>
  <si>
    <t>FSC Winnipeg</t>
  </si>
  <si>
    <t>FSC Edmonton</t>
  </si>
  <si>
    <t>ESS Vancouver</t>
  </si>
  <si>
    <t>Service Coordinator Toronto</t>
  </si>
  <si>
    <t>Equip Coord Quebec City</t>
  </si>
  <si>
    <t>EST Quebec City</t>
  </si>
  <si>
    <t>Install Manager/EST Quebec City</t>
  </si>
  <si>
    <t>Technical Support Specialist Toronto</t>
  </si>
  <si>
    <t>DC Support Vancouver</t>
  </si>
  <si>
    <t>SYLVAIN ALLARD</t>
  </si>
  <si>
    <t>Julia.Lenton@henryschein.ca</t>
  </si>
  <si>
    <t>WZ1JL</t>
  </si>
  <si>
    <t>Sieh.Moore@henryschein.ca</t>
  </si>
  <si>
    <t>YVES MILETTE</t>
  </si>
  <si>
    <t>Frederic.Gagnon@henryschein.ca</t>
  </si>
  <si>
    <t>Alexander.Salarda@henryschein.ca</t>
  </si>
  <si>
    <t>National Institutional Strategic Account Manager</t>
  </si>
  <si>
    <t>Supervisor, ProRepair and Service Coordination</t>
  </si>
  <si>
    <t>DONOGHUE</t>
  </si>
  <si>
    <t>DC Support, Inventory Control and Equipment</t>
  </si>
  <si>
    <t>PEDDLE</t>
  </si>
  <si>
    <t>RIES</t>
  </si>
  <si>
    <t>DARYL</t>
  </si>
  <si>
    <t>ESS Hi-Tech</t>
  </si>
  <si>
    <t>CARDANO</t>
  </si>
  <si>
    <t>PAULO</t>
  </si>
  <si>
    <t>REH</t>
  </si>
  <si>
    <t>HARDER</t>
  </si>
  <si>
    <t>SIEH</t>
  </si>
  <si>
    <t>SALARDA</t>
  </si>
  <si>
    <t>SPOONER</t>
  </si>
  <si>
    <t>SWINIMER</t>
  </si>
  <si>
    <t>HOLLINK</t>
  </si>
  <si>
    <t>BABIN</t>
  </si>
  <si>
    <t>VERVUURT</t>
  </si>
  <si>
    <t>MARISKA</t>
  </si>
  <si>
    <t>MORLEY</t>
  </si>
  <si>
    <t>GMAZ</t>
  </si>
  <si>
    <t>KERRI</t>
  </si>
  <si>
    <t>HARDWICK</t>
  </si>
  <si>
    <t>GIANCOLA</t>
  </si>
  <si>
    <t>JOSHUA</t>
  </si>
  <si>
    <t>Curtis.MacDougall@henryschein.ca</t>
  </si>
  <si>
    <t>Marc.Cyr-Desruisseaux@henryschein.ca</t>
  </si>
  <si>
    <t>JOE LEWIS</t>
  </si>
  <si>
    <t>HARTLEY ROMERO</t>
  </si>
  <si>
    <t>CURTIS</t>
  </si>
  <si>
    <t>MIGUEL-INAKI</t>
  </si>
  <si>
    <t>ADAGBE</t>
  </si>
  <si>
    <t>EDNA</t>
  </si>
  <si>
    <t>BOISSELLE</t>
  </si>
  <si>
    <t>QUADROS</t>
  </si>
  <si>
    <t>DEBBIE</t>
  </si>
  <si>
    <t>STEAD</t>
  </si>
  <si>
    <t>LEANNA</t>
  </si>
  <si>
    <t>KAI LAMB-MILKERT</t>
  </si>
  <si>
    <t>GHISLAIN BEAUVAIS</t>
  </si>
  <si>
    <t>ERIKKA GILMORE</t>
  </si>
  <si>
    <t>DANY MARION-RICARD</t>
  </si>
  <si>
    <t>Jo-Anne.Richardson@henryschein.ca</t>
  </si>
  <si>
    <t>Mitchell.Rasmussen@Henryschein.ca</t>
  </si>
  <si>
    <t>Ferdinand.Kumati@Henryschein.ca</t>
  </si>
  <si>
    <t>DC Supervisor, Production &amp; Material Handling</t>
  </si>
  <si>
    <t>General Manager, Labnet</t>
  </si>
  <si>
    <t>CHEN</t>
  </si>
  <si>
    <t>RADU</t>
  </si>
  <si>
    <t>MARIN</t>
  </si>
  <si>
    <t>MAZZOCCOLI</t>
  </si>
  <si>
    <t>ALTRO</t>
  </si>
  <si>
    <t>HSPS Trainer</t>
  </si>
  <si>
    <t>Shawn.Altro@henryschein.ca</t>
  </si>
  <si>
    <t>ANDREW JACKSON</t>
  </si>
  <si>
    <t>PAIGE OGRODNICK</t>
  </si>
  <si>
    <t>WZ1JR</t>
  </si>
  <si>
    <t>RACHEL JARDINE</t>
  </si>
  <si>
    <t>TONY KRANJCEVIC</t>
  </si>
  <si>
    <t>ALAIN PICARD</t>
  </si>
  <si>
    <t>ERICA PICARD</t>
  </si>
  <si>
    <t>KYLE GIBBARD</t>
  </si>
  <si>
    <t>MONIQUE DE_LERY</t>
  </si>
  <si>
    <t>SCOTT THORNTON</t>
  </si>
  <si>
    <t>Manager of Telesales</t>
  </si>
  <si>
    <t>BEAUREGARD</t>
  </si>
  <si>
    <t>EMMANUEL-OLUWAFEMI</t>
  </si>
  <si>
    <t>TOLULOPE</t>
  </si>
  <si>
    <t>RICHARDSON</t>
  </si>
  <si>
    <t>JO-ANNE</t>
  </si>
  <si>
    <t>RASMUSSEN</t>
  </si>
  <si>
    <t>GREWAL</t>
  </si>
  <si>
    <t>RAJVIR</t>
  </si>
  <si>
    <t>KHODAVERDIAN</t>
  </si>
  <si>
    <t>Inside Sales Representative - Lab/CSR - Teeth</t>
  </si>
  <si>
    <t>KUMATI</t>
  </si>
  <si>
    <t>FERDINAND</t>
  </si>
  <si>
    <t>BILODEAU</t>
  </si>
  <si>
    <t>BOIVIN</t>
  </si>
  <si>
    <t>VINCIGUERRA</t>
  </si>
  <si>
    <t>Jonathan.Boivin@Henryschein.ca</t>
  </si>
  <si>
    <t>Andre.Liew@henryschein.ca</t>
  </si>
  <si>
    <t>WZ1AL</t>
  </si>
  <si>
    <t>Janice.Bruce@henryschein.ca</t>
  </si>
  <si>
    <t>Micki.Rombouts@henryschein.ca</t>
  </si>
  <si>
    <t>Yanick.Lefebvre@henryschein.ca</t>
  </si>
  <si>
    <t>AZ1JB</t>
  </si>
  <si>
    <t>SEAN MCGRATTAN</t>
  </si>
  <si>
    <t>CZ1RR</t>
  </si>
  <si>
    <t>BRETON</t>
  </si>
  <si>
    <t>LIEW</t>
  </si>
  <si>
    <t>ADALGISA</t>
  </si>
  <si>
    <t>ROMBOUTS</t>
  </si>
  <si>
    <t>BACON</t>
  </si>
  <si>
    <t>HSFS Regional Consultant</t>
  </si>
  <si>
    <t>BRUCE</t>
  </si>
  <si>
    <t>JANICE</t>
  </si>
  <si>
    <t>FSC &amp; EPS</t>
  </si>
  <si>
    <t>DAVID BROWN</t>
  </si>
  <si>
    <t>WZ1T2</t>
  </si>
  <si>
    <t>Lead Hand, Production</t>
  </si>
  <si>
    <t>FSC &amp; CAD/CAM Specialist</t>
  </si>
  <si>
    <t>KUMARASINGAM</t>
  </si>
  <si>
    <t>KAN</t>
  </si>
  <si>
    <t>BROMBERG</t>
  </si>
  <si>
    <t>GAWRONSKI_PETER</t>
  </si>
  <si>
    <t>DAVID JOHANNSEN</t>
  </si>
  <si>
    <t>BRYAN PARISLOFF</t>
  </si>
  <si>
    <t>GUY LABBE</t>
  </si>
  <si>
    <t>SCOTT ROONEY</t>
  </si>
  <si>
    <t>Tom.Walencik@Henryschein.ca</t>
  </si>
  <si>
    <t>CZ1AD</t>
  </si>
  <si>
    <t>Mike.Bromberg@Henryschein.ca</t>
  </si>
  <si>
    <t>DC Support, Receiver/Material Handler</t>
  </si>
  <si>
    <t>DC Support, Production - EOL</t>
  </si>
  <si>
    <t>O'BLENIS</t>
  </si>
  <si>
    <t>CAD/CAM Specialist</t>
  </si>
  <si>
    <t>Facilities Maintenance/Custodian</t>
  </si>
  <si>
    <t>PERRI</t>
  </si>
  <si>
    <t>MALIK</t>
  </si>
  <si>
    <t>ALI</t>
  </si>
  <si>
    <t>Financial Operations Manager</t>
  </si>
  <si>
    <t>VALERIO</t>
  </si>
  <si>
    <t>WALENCIK</t>
  </si>
  <si>
    <t>MATTHEW ROGERS</t>
  </si>
  <si>
    <t>CHRISTIAN BIGAOUETTE</t>
  </si>
  <si>
    <t>Marie-Eve.Leclerc@henryschein.ca</t>
  </si>
  <si>
    <t>WZ1G5</t>
  </si>
  <si>
    <t>2nd Terr VACVR</t>
  </si>
  <si>
    <t>QZ1ML</t>
  </si>
  <si>
    <t>EDUARDO MORALES</t>
  </si>
  <si>
    <t>Graham.Mann@henryschein.ca</t>
  </si>
  <si>
    <t>GENDRON</t>
  </si>
  <si>
    <t>KUSINSKI</t>
  </si>
  <si>
    <t>OTHITIS</t>
  </si>
  <si>
    <t>Director of Field Sales, North America</t>
  </si>
  <si>
    <t>MORIN_MARY-ANN</t>
  </si>
  <si>
    <t>Digital Technology Specialist (DTS)</t>
  </si>
  <si>
    <t>LEBLANC</t>
  </si>
  <si>
    <t>Surgical Specialties Support Representative</t>
  </si>
  <si>
    <t>HILLS</t>
  </si>
  <si>
    <t>LECLERC</t>
  </si>
  <si>
    <t>MARIE-EVE</t>
  </si>
  <si>
    <t>HOPKINS</t>
  </si>
  <si>
    <t>National High Technology Operations Manager</t>
  </si>
  <si>
    <t>Barbara.Mcknight@henryschein.ca</t>
  </si>
  <si>
    <t>QZ1BM</t>
  </si>
  <si>
    <t>Daniel.Nicholaichuk@henryschein.ca</t>
  </si>
  <si>
    <t>denise.kusinski@zahncanada.ca</t>
  </si>
  <si>
    <t>WZ1RB</t>
  </si>
  <si>
    <t>Add FSC Code</t>
  </si>
  <si>
    <t>WZ1DA</t>
  </si>
  <si>
    <t>Addition FSC Code</t>
  </si>
  <si>
    <t>Terminated - Passed away</t>
  </si>
  <si>
    <t>Director, Service</t>
  </si>
  <si>
    <t>VAN_SLOTEN_NANCY</t>
  </si>
  <si>
    <t>NICHOLAICHUK</t>
  </si>
  <si>
    <t>BLAIN</t>
  </si>
  <si>
    <t>Zahn National Sales Manager</t>
  </si>
  <si>
    <t>CHEN-EGAN</t>
  </si>
  <si>
    <t>CHERRY</t>
  </si>
  <si>
    <t>DAVIDSON</t>
  </si>
  <si>
    <t>THERRIEN</t>
  </si>
  <si>
    <t>AMELIE</t>
  </si>
  <si>
    <t>ESS/EST Service Installation/FSC</t>
  </si>
  <si>
    <t>Marc.Wagner@henryschein.ca</t>
  </si>
  <si>
    <t>Famida.Abrahim@henryschein.ca</t>
  </si>
  <si>
    <t>New FSC - Shawn Altro</t>
  </si>
  <si>
    <t>GEORGE SCHWAM</t>
  </si>
  <si>
    <t>LORI MCRAE-HILDEBRANDT</t>
  </si>
  <si>
    <t>VAN_SLOTEN_NANCY ESTATE-OF-THE-LATE</t>
  </si>
  <si>
    <t>Eric.Micallef@henryschein.ca</t>
  </si>
  <si>
    <t>WZ1MW</t>
  </si>
  <si>
    <t>CZ1FA</t>
  </si>
  <si>
    <t>Senior Business Reporting Analyst</t>
  </si>
  <si>
    <t>National E-Commerce Specialist</t>
  </si>
  <si>
    <t>CREE</t>
  </si>
  <si>
    <t>MILDENBERGER</t>
  </si>
  <si>
    <t>CHAHOUD</t>
  </si>
  <si>
    <t>YOUSSEF</t>
  </si>
  <si>
    <t>CONDENO</t>
  </si>
  <si>
    <t>JANSSEN</t>
  </si>
  <si>
    <t>MICALLEF</t>
  </si>
  <si>
    <t>Babar.Memon@henryschein.ca</t>
  </si>
  <si>
    <t>DAVID SAMPSON</t>
  </si>
  <si>
    <t>Marketing Manager</t>
  </si>
  <si>
    <t>Corporate Events Planner</t>
  </si>
  <si>
    <t>Marketing Analyst</t>
  </si>
  <si>
    <t>MEMON</t>
  </si>
  <si>
    <t>BABAR</t>
  </si>
  <si>
    <t>Manager, Staffing &amp; Compensation</t>
  </si>
  <si>
    <t>MACLEOD</t>
  </si>
  <si>
    <t>Commissions Specialist</t>
  </si>
  <si>
    <t>Front-End Web Developer</t>
  </si>
  <si>
    <t>GOSSELIN</t>
  </si>
  <si>
    <t>COTOIA</t>
  </si>
  <si>
    <t>FILOMENA</t>
  </si>
  <si>
    <t>Maged.Soliman@henryschein.ca</t>
  </si>
  <si>
    <t>Fatos.Terova@henryschein.ca</t>
  </si>
  <si>
    <t>WZ1MS</t>
  </si>
  <si>
    <t>TOM ZALAC</t>
  </si>
  <si>
    <t>KEN WALKER</t>
  </si>
  <si>
    <t>BRIAN KINASH</t>
  </si>
  <si>
    <t>TOMASZ WALENCIK</t>
  </si>
  <si>
    <t>Don.Fleming@henryschein.ca</t>
  </si>
  <si>
    <t>Director of Sales, Western Zone</t>
  </si>
  <si>
    <t>Install Coordinator</t>
  </si>
  <si>
    <t>SOLIMAN</t>
  </si>
  <si>
    <t>MAGED</t>
  </si>
  <si>
    <t>STARC</t>
  </si>
  <si>
    <t>MASCITELLI</t>
  </si>
  <si>
    <t>Laboratory Specialist Merchandise</t>
  </si>
  <si>
    <t>MAJEED</t>
  </si>
  <si>
    <t>NAVEED</t>
  </si>
  <si>
    <t>COUTURE</t>
  </si>
  <si>
    <t>PHILLIPE</t>
  </si>
  <si>
    <t>FLEMING</t>
  </si>
  <si>
    <t>ANOUSH EKMEKJIAN</t>
  </si>
  <si>
    <t>Simon.Archer@henryschein.ca</t>
  </si>
  <si>
    <t>New FSC - Jason Brown</t>
  </si>
  <si>
    <t>Kyle.Cox@henryschein.ca</t>
  </si>
  <si>
    <t>Filomena.Cotoia@henryschein.ca</t>
  </si>
  <si>
    <t>CZ2SA</t>
  </si>
  <si>
    <t>WZ1DF</t>
  </si>
  <si>
    <t>Murray.Johnson@henryschein.ca</t>
  </si>
  <si>
    <t>Kevin.Boyd@henryschein.ca</t>
  </si>
  <si>
    <t>FSC/ESS/CCS</t>
  </si>
  <si>
    <t>Human Resources Consultant</t>
  </si>
  <si>
    <t>MARANO</t>
  </si>
  <si>
    <t>Junior Planning &amp; Design Consultant</t>
  </si>
  <si>
    <t>LOUIS-XAVIER</t>
  </si>
  <si>
    <t>DERY</t>
  </si>
  <si>
    <t>VALERIE</t>
  </si>
  <si>
    <t>MELODY</t>
  </si>
  <si>
    <t>Equipment Category Specialist</t>
  </si>
  <si>
    <t>WALL</t>
  </si>
  <si>
    <t>AGATHA</t>
  </si>
  <si>
    <t>PANDYA</t>
  </si>
  <si>
    <t>RISHA</t>
  </si>
  <si>
    <t>ROBERT SALISBURY</t>
  </si>
  <si>
    <t>Julie.Noel@henryschein.ca</t>
  </si>
  <si>
    <t>TOR05</t>
  </si>
  <si>
    <t>Justin.Branco@henryschein.ca</t>
  </si>
  <si>
    <t>Job change</t>
  </si>
  <si>
    <t>AZ1WH</t>
  </si>
  <si>
    <t>NWFLD</t>
  </si>
  <si>
    <t>New Branch / Code</t>
  </si>
  <si>
    <t>QZ1JN</t>
  </si>
  <si>
    <t>Chris.Murray@henryschein.ca</t>
  </si>
  <si>
    <t>AZ1CM</t>
  </si>
  <si>
    <t>2nd Terr CALGY, No Statement</t>
  </si>
  <si>
    <t>WZ243</t>
  </si>
  <si>
    <t>Senior Director of Global Market Development</t>
  </si>
  <si>
    <t>Senior Operations &amp; Marketing Specialist</t>
  </si>
  <si>
    <t>HAIKA</t>
  </si>
  <si>
    <t>MEEKINS</t>
  </si>
  <si>
    <t>ZACHARY</t>
  </si>
  <si>
    <t>CHERNIWCHAN</t>
  </si>
  <si>
    <t>Territory Manager</t>
  </si>
  <si>
    <t>ARMSTRONG</t>
  </si>
  <si>
    <t>BRANCO</t>
  </si>
  <si>
    <t>DESERRANO</t>
  </si>
  <si>
    <t>NATALIE</t>
  </si>
  <si>
    <t>ABBOTT</t>
  </si>
  <si>
    <t>Mount Pearl NF</t>
  </si>
  <si>
    <t>MERCER</t>
  </si>
  <si>
    <t>Service Team Lead</t>
  </si>
  <si>
    <t>Warehouse Support &amp; Facilities Coordinator</t>
  </si>
  <si>
    <t>BARRETT</t>
  </si>
  <si>
    <t>COLLINS</t>
  </si>
  <si>
    <t>MEAGHAN</t>
  </si>
  <si>
    <t>Suzanne.Lebeau@henryschein.ca</t>
  </si>
  <si>
    <t>QZ1SL</t>
  </si>
  <si>
    <t>New MNGR NWFLD</t>
  </si>
  <si>
    <t>Dustin.Cherniwchan@henryschein.ca</t>
  </si>
  <si>
    <t>Larry.Abbott@henryschein.ca</t>
  </si>
  <si>
    <t>Adam.Jones@henryschein.ca</t>
  </si>
  <si>
    <t>David.Suaza@henryschein.ca</t>
  </si>
  <si>
    <t>CZ1CN</t>
  </si>
  <si>
    <t>Comm Stat only</t>
  </si>
  <si>
    <t>Cherry.Chen-Egan@henryschein.ca</t>
  </si>
  <si>
    <t>Jason.Schuler@henryschein.ca</t>
  </si>
  <si>
    <t>WZ1AJ</t>
  </si>
  <si>
    <t>New MNGR / FSC Code</t>
  </si>
  <si>
    <t>DO NOT SORT</t>
  </si>
  <si>
    <t>Alexandra.Zern@henryschein.ca</t>
  </si>
  <si>
    <t>Catherine.Morris@henryschein.ca</t>
  </si>
  <si>
    <t>Jamie.Imeson@henryschein.ca</t>
  </si>
  <si>
    <t>RONALD POCH</t>
  </si>
  <si>
    <t>2nd Terr EDMON Not needed</t>
  </si>
  <si>
    <t>National Director of Sales</t>
  </si>
  <si>
    <t>Manager, Employee Relations &amp; Wellness</t>
  </si>
  <si>
    <t>LEBRUN</t>
  </si>
  <si>
    <t>BOAKYE-AFRAM</t>
  </si>
  <si>
    <t>IMESON</t>
  </si>
  <si>
    <t>HARJIT</t>
  </si>
  <si>
    <t>DC Support, Bulk Receiver/Equipment Operator</t>
  </si>
  <si>
    <t>STASIEWICZ</t>
  </si>
  <si>
    <t>Digital Sales Specialist</t>
  </si>
  <si>
    <t>ZERN</t>
  </si>
  <si>
    <t>DC Clerk</t>
  </si>
  <si>
    <t>SUAZA</t>
  </si>
  <si>
    <t>CROUSE</t>
  </si>
  <si>
    <t>Customer Service Representative - Labnet</t>
  </si>
  <si>
    <t>MANOCCHIO</t>
  </si>
  <si>
    <t>BENEDETTO</t>
  </si>
  <si>
    <t>HAFEZI</t>
  </si>
  <si>
    <t>NAGHMEH</t>
  </si>
  <si>
    <t>DUNCAN</t>
  </si>
  <si>
    <t>CHO</t>
  </si>
  <si>
    <t>JINPHIL</t>
  </si>
  <si>
    <t>Marketing Specialist, Pricing Analyst</t>
  </si>
  <si>
    <t>MUISE</t>
  </si>
  <si>
    <t>Email change - On LOA</t>
  </si>
  <si>
    <t>ZACHARY MEEKINS</t>
  </si>
  <si>
    <t>WZ1CM</t>
  </si>
  <si>
    <t>WZ1JI</t>
  </si>
  <si>
    <t>No Territory</t>
  </si>
  <si>
    <t>Nathan.Morrison@henryschein.ca</t>
  </si>
  <si>
    <t>Frank.Curley@henryschein.ca</t>
  </si>
  <si>
    <t>Robert.Rudd@henryschein.ca</t>
  </si>
  <si>
    <t>Mitch.Gentles@henryschein.ca</t>
  </si>
  <si>
    <t>ANDREW TWEEDIE</t>
  </si>
  <si>
    <t>PIERRE-LUC MONETTE-CHARBONNEAU</t>
  </si>
  <si>
    <t>THOMAS WILKINSON</t>
  </si>
  <si>
    <t>Tooth Operations Supervisor</t>
  </si>
  <si>
    <t>GENTLES</t>
  </si>
  <si>
    <t>MITCHUM</t>
  </si>
  <si>
    <t>RUDD</t>
  </si>
  <si>
    <t>KAZUTA</t>
  </si>
  <si>
    <t>ELISE</t>
  </si>
  <si>
    <t>CARTER-KALTSAS</t>
  </si>
  <si>
    <t>BYERS</t>
  </si>
  <si>
    <t>JACQULYN</t>
  </si>
  <si>
    <t>ALLERY</t>
  </si>
  <si>
    <t>Sales Manager, Calgary</t>
  </si>
  <si>
    <t>Tooth Credit and Consignment Representative</t>
  </si>
  <si>
    <t>Director of Sales, Central Zone</t>
  </si>
  <si>
    <t>Director of Sales, Quebec Zone</t>
  </si>
  <si>
    <t>CHUN</t>
  </si>
  <si>
    <t>LANGLOIS</t>
  </si>
  <si>
    <t>DALGETY</t>
  </si>
  <si>
    <t>LOWELL</t>
  </si>
  <si>
    <t>CURLEY</t>
  </si>
  <si>
    <t>NOWAKOWSKI</t>
  </si>
  <si>
    <t>TANYA</t>
  </si>
  <si>
    <t>CURTIS MACDOUGALL</t>
  </si>
  <si>
    <t>GRAHAM CAISE</t>
  </si>
  <si>
    <t>Scott.Mildenberger@henryschein.ca</t>
  </si>
  <si>
    <t>Ed.Smith@henryschein.ca</t>
  </si>
  <si>
    <t>OMARAM RAMLOGAN</t>
  </si>
  <si>
    <t>Jason.Kirkbride@henryschein.ca</t>
  </si>
  <si>
    <t>Vice President, NA Prosthetics Solutions</t>
  </si>
  <si>
    <t>Senior HR Consultant</t>
  </si>
  <si>
    <t>MARCZI</t>
  </si>
  <si>
    <t>NADINE</t>
  </si>
  <si>
    <t>Julie.Blackburn@henryschein.ca</t>
  </si>
  <si>
    <t>Megan.Schick@henryschein.ca</t>
  </si>
  <si>
    <t>WZ1J2</t>
  </si>
  <si>
    <t>2nd Terr</t>
  </si>
  <si>
    <t>WZ2MS</t>
  </si>
  <si>
    <t>WZ237</t>
  </si>
  <si>
    <t>WZ1M2</t>
  </si>
  <si>
    <t>SIMON VAUDRY</t>
  </si>
  <si>
    <t>SCHICK</t>
  </si>
  <si>
    <t>MEGAN</t>
  </si>
  <si>
    <t>VOLPATTI</t>
  </si>
  <si>
    <t>KIRKBRIDE</t>
  </si>
  <si>
    <t>Senior Facilities Maintenance</t>
  </si>
  <si>
    <t>BLACKBURN</t>
  </si>
  <si>
    <t>VANDERLINDE</t>
  </si>
  <si>
    <t>code</t>
  </si>
  <si>
    <t>email</t>
  </si>
  <si>
    <t>subject</t>
  </si>
  <si>
    <t>flag</t>
  </si>
  <si>
    <t>count</t>
  </si>
  <si>
    <t>attach1</t>
  </si>
  <si>
    <t>attach2</t>
  </si>
  <si>
    <t>attach3</t>
  </si>
  <si>
    <t>B</t>
  </si>
  <si>
    <t>c</t>
  </si>
  <si>
    <t>d</t>
  </si>
  <si>
    <t>e</t>
  </si>
  <si>
    <t>f</t>
  </si>
  <si>
    <t>g</t>
  </si>
  <si>
    <t>h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</si>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</sst>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d\-mmm\-yy;@"/>
    <numFmt numFmtId="165" formatCode="0_);\(0\)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ARIAL"/>
      <family val="2"/>
    </font>
    <font>
      <sz val="10.5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theme="1"/>
      <name val="Arial Unicode MS"/>
      <family val="2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/>
    <xf numFmtId="0" fontId="5" fillId="0" borderId="0"/>
    <xf numFmtId="0" fontId="5" fillId="0" borderId="0"/>
    <xf numFmtId="43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1" fillId="8" borderId="0" applyNumberFormat="0" applyBorder="0" applyAlignment="0" applyProtection="0"/>
    <xf numFmtId="0" fontId="12" fillId="9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11" borderId="12" applyNumberFormat="0" applyAlignment="0" applyProtection="0"/>
  </cellStyleXfs>
  <cellXfs count="68">
    <xf numFmtId="0" fontId="0" fillId="0" borderId="0" xfId="0"/>
    <xf numFmtId="0" fontId="0" fillId="0" borderId="0" xfId="0" applyAlignment="1">
      <alignment horizontal="center" vertical="center" wrapText="1"/>
    </xf>
    <xf numFmtId="16" fontId="0" fillId="0" borderId="0" xfId="0" applyNumberFormat="1"/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Fill="1" applyAlignment="1">
      <alignment horizontal="center"/>
    </xf>
    <xf numFmtId="0" fontId="2" fillId="0" borderId="0" xfId="0" applyFont="1"/>
    <xf numFmtId="0" fontId="4" fillId="0" borderId="0" xfId="0" applyFont="1"/>
    <xf numFmtId="0" fontId="5" fillId="0" borderId="0" xfId="1"/>
    <xf numFmtId="0" fontId="5" fillId="0" borderId="0" xfId="2"/>
    <xf numFmtId="0" fontId="0" fillId="0" borderId="0" xfId="0" applyFill="1"/>
    <xf numFmtId="0" fontId="0" fillId="0" borderId="0" xfId="0" quotePrefix="1"/>
    <xf numFmtId="0" fontId="1" fillId="0" borderId="0" xfId="0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/>
    <xf numFmtId="0" fontId="1" fillId="0" borderId="0" xfId="0" applyFont="1"/>
    <xf numFmtId="0" fontId="0" fillId="0" borderId="2" xfId="0" applyBorder="1" applyAlignment="1">
      <alignment horizontal="center"/>
    </xf>
    <xf numFmtId="0" fontId="0" fillId="3" borderId="5" xfId="0" applyFill="1" applyBorder="1" applyAlignment="1">
      <alignment horizontal="right"/>
    </xf>
    <xf numFmtId="0" fontId="0" fillId="3" borderId="1" xfId="0" applyFill="1" applyBorder="1"/>
    <xf numFmtId="0" fontId="0" fillId="3" borderId="3" xfId="0" applyFill="1" applyBorder="1"/>
    <xf numFmtId="0" fontId="0" fillId="3" borderId="4" xfId="0" applyFill="1" applyBorder="1"/>
    <xf numFmtId="0" fontId="8" fillId="0" borderId="0" xfId="4"/>
    <xf numFmtId="0" fontId="0" fillId="4" borderId="0" xfId="0" applyFill="1" applyAlignment="1">
      <alignment horizontal="right"/>
    </xf>
    <xf numFmtId="165" fontId="0" fillId="4" borderId="0" xfId="3" applyNumberFormat="1" applyFont="1" applyFill="1"/>
    <xf numFmtId="0" fontId="0" fillId="2" borderId="6" xfId="0" applyFill="1" applyBorder="1" applyAlignment="1">
      <alignment horizontal="right"/>
    </xf>
    <xf numFmtId="0" fontId="0" fillId="2" borderId="7" xfId="0" applyFill="1" applyBorder="1"/>
    <xf numFmtId="0" fontId="0" fillId="2" borderId="8" xfId="0" applyFill="1" applyBorder="1" applyAlignment="1">
      <alignment horizontal="right"/>
    </xf>
    <xf numFmtId="16" fontId="0" fillId="2" borderId="9" xfId="0" applyNumberFormat="1" applyFill="1" applyBorder="1"/>
    <xf numFmtId="0" fontId="0" fillId="2" borderId="10" xfId="0" applyFill="1" applyBorder="1" applyAlignment="1">
      <alignment horizontal="right"/>
    </xf>
    <xf numFmtId="16" fontId="0" fillId="2" borderId="11" xfId="0" applyNumberFormat="1" applyFill="1" applyBorder="1"/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 indent="1"/>
    </xf>
    <xf numFmtId="0" fontId="1" fillId="0" borderId="0" xfId="0" applyFont="1" applyFill="1" applyAlignment="1">
      <alignment horizontal="center"/>
    </xf>
    <xf numFmtId="16" fontId="0" fillId="0" borderId="0" xfId="0" applyNumberFormat="1" applyFill="1"/>
    <xf numFmtId="0" fontId="0" fillId="0" borderId="0" xfId="0" applyAlignment="1">
      <alignment vertical="top"/>
    </xf>
    <xf numFmtId="0" fontId="0" fillId="0" borderId="0" xfId="0" applyAlignment="1">
      <alignment shrinkToFit="1"/>
    </xf>
    <xf numFmtId="0" fontId="3" fillId="0" borderId="0" xfId="0" applyFont="1" applyAlignment="1">
      <alignment shrinkToFit="1"/>
    </xf>
    <xf numFmtId="164" fontId="0" fillId="0" borderId="0" xfId="0" applyNumberForma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6" borderId="0" xfId="0" applyFill="1"/>
    <xf numFmtId="0" fontId="0" fillId="5" borderId="0" xfId="0" applyFill="1"/>
    <xf numFmtId="0" fontId="0" fillId="0" borderId="0" xfId="0" applyFill="1" applyAlignment="1">
      <alignment shrinkToFit="1"/>
    </xf>
    <xf numFmtId="0" fontId="0" fillId="0" borderId="0" xfId="0" applyBorder="1" applyAlignment="1">
      <alignment shrinkToFit="1"/>
    </xf>
    <xf numFmtId="0" fontId="0" fillId="0" borderId="0" xfId="0" applyAlignment="1">
      <alignment horizontal="centerContinuous" vertical="center" wrapText="1"/>
    </xf>
    <xf numFmtId="0" fontId="9" fillId="5" borderId="5" xfId="0" applyFont="1" applyFill="1" applyBorder="1" applyAlignment="1">
      <alignment horizontal="left" vertical="center"/>
    </xf>
    <xf numFmtId="0" fontId="9" fillId="5" borderId="5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right" vertical="center"/>
    </xf>
    <xf numFmtId="1" fontId="10" fillId="0" borderId="0" xfId="0" applyNumberFormat="1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0" fillId="7" borderId="0" xfId="0" applyFill="1" applyAlignment="1">
      <alignment horizontal="center" vertical="center"/>
    </xf>
    <xf numFmtId="0" fontId="11" fillId="8" borderId="0" xfId="5" applyAlignment="1">
      <alignment horizontal="center"/>
    </xf>
    <xf numFmtId="0" fontId="12" fillId="9" borderId="0" xfId="6" applyAlignment="1">
      <alignment horizontal="center"/>
    </xf>
    <xf numFmtId="0" fontId="13" fillId="0" borderId="0" xfId="0" applyFont="1"/>
    <xf numFmtId="0" fontId="0" fillId="0" borderId="0" xfId="0" applyFill="1" applyAlignment="1">
      <alignment vertical="top"/>
    </xf>
    <xf numFmtId="164" fontId="0" fillId="0" borderId="0" xfId="0" applyNumberFormat="1" applyAlignment="1">
      <alignment vertical="top"/>
    </xf>
    <xf numFmtId="0" fontId="11" fillId="0" borderId="0" xfId="5" applyFill="1" applyAlignment="1">
      <alignment horizontal="center"/>
    </xf>
    <xf numFmtId="0" fontId="14" fillId="0" borderId="0" xfId="7" applyAlignment="1">
      <alignment shrinkToFit="1"/>
    </xf>
    <xf numFmtId="0" fontId="0" fillId="10" borderId="0" xfId="0" applyFill="1"/>
    <xf numFmtId="0" fontId="12" fillId="0" borderId="0" xfId="6" applyFill="1" applyAlignment="1">
      <alignment horizontal="center"/>
    </xf>
    <xf numFmtId="0" fontId="15" fillId="11" borderId="12" xfId="8" applyAlignment="1">
      <alignment horizontal="center" vertical="center" wrapText="1"/>
    </xf>
    <xf numFmtId="0" fontId="16" fillId="0" borderId="0" xfId="0" applyFont="1"/>
    <xf numFmtId="0" fontId="12" fillId="9" borderId="0" xfId="6" applyAlignment="1">
      <alignment horizontal="center" vertical="center"/>
    </xf>
    <xf numFmtId="0" fontId="0" fillId="12" borderId="0" xfId="0" applyFill="1"/>
    <xf numFmtId="0" fontId="17" fillId="0" borderId="0" xfId="7" applyFont="1"/>
  </cellXfs>
  <cellStyles count="9">
    <cellStyle name="Comma" xfId="3" builtinId="3"/>
    <cellStyle name="Explanatory Text" xfId="4" builtinId="53"/>
    <cellStyle name="Good" xfId="5" builtinId="26"/>
    <cellStyle name="Hyperlink" xfId="7" builtinId="8"/>
    <cellStyle name="Input" xfId="8" builtinId="20"/>
    <cellStyle name="Neutral" xfId="6" builtinId="28"/>
    <cellStyle name="Normal" xfId="0" builtinId="0"/>
    <cellStyle name="Normal 2" xfId="1"/>
    <cellStyle name="Normal 3" xfId="2"/>
  </cellStyles>
  <dxfs count="39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Bryan.Parisloff@henryschein.ca" TargetMode="External"/><Relationship Id="rId21" Type="http://schemas.openxmlformats.org/officeDocument/2006/relationships/hyperlink" Target="mailto:Robert.Salisbury@henryschein.ca" TargetMode="External"/><Relationship Id="rId63" Type="http://schemas.openxmlformats.org/officeDocument/2006/relationships/hyperlink" Target="mailto:Jean-Pierre.Bourgeois@henryschein.ca" TargetMode="External"/><Relationship Id="rId159" Type="http://schemas.openxmlformats.org/officeDocument/2006/relationships/hyperlink" Target="mailto:Eddy.Mitrovic@henryschein.ca" TargetMode="External"/><Relationship Id="rId170" Type="http://schemas.openxmlformats.org/officeDocument/2006/relationships/hyperlink" Target="mailto:Katie.Seys@henryschein.ca" TargetMode="External"/><Relationship Id="rId226" Type="http://schemas.openxmlformats.org/officeDocument/2006/relationships/hyperlink" Target="mailto:Alexandra.Zern@henryschein.ca" TargetMode="External"/><Relationship Id="rId268" Type="http://schemas.openxmlformats.org/officeDocument/2006/relationships/hyperlink" Target="mailto:Scott.Mildenberger@henryschein.ca" TargetMode="External"/><Relationship Id="rId32" Type="http://schemas.openxmlformats.org/officeDocument/2006/relationships/hyperlink" Target="mailto:Charles.Ivy@henryschein.ca" TargetMode="External"/><Relationship Id="rId74" Type="http://schemas.openxmlformats.org/officeDocument/2006/relationships/hyperlink" Target="mailto:Omar.Alrayiss@henryschein.ca" TargetMode="External"/><Relationship Id="rId128" Type="http://schemas.openxmlformats.org/officeDocument/2006/relationships/hyperlink" Target="mailto:Jason.Polnau@henryschein.ca" TargetMode="External"/><Relationship Id="rId5" Type="http://schemas.openxmlformats.org/officeDocument/2006/relationships/hyperlink" Target="mailto:David.Haskins@henryschein.ca" TargetMode="External"/><Relationship Id="rId181" Type="http://schemas.openxmlformats.org/officeDocument/2006/relationships/hyperlink" Target="mailto:Shannon.Arts@henryschein.ca" TargetMode="External"/><Relationship Id="rId237" Type="http://schemas.openxmlformats.org/officeDocument/2006/relationships/hyperlink" Target="mailto:Lori.Mcrae@henryschein.ca" TargetMode="External"/><Relationship Id="rId258" Type="http://schemas.openxmlformats.org/officeDocument/2006/relationships/hyperlink" Target="mailto:John.Luong@henryschein.ca" TargetMode="External"/><Relationship Id="rId279" Type="http://schemas.openxmlformats.org/officeDocument/2006/relationships/printerSettings" Target="../printerSettings/printerSettings1.bin"/><Relationship Id="rId22" Type="http://schemas.openxmlformats.org/officeDocument/2006/relationships/hyperlink" Target="mailto:Nathan.Piepgrass@henryschein.ca" TargetMode="External"/><Relationship Id="rId43" Type="http://schemas.openxmlformats.org/officeDocument/2006/relationships/hyperlink" Target="mailto:Charles.Gilbert@henryschein.ca" TargetMode="External"/><Relationship Id="rId64" Type="http://schemas.openxmlformats.org/officeDocument/2006/relationships/hyperlink" Target="mailto:Julie.Brosseau@henryschein.ca" TargetMode="External"/><Relationship Id="rId118" Type="http://schemas.openxmlformats.org/officeDocument/2006/relationships/hyperlink" Target="mailto:Shawn.Stevens@henryschein.ca" TargetMode="External"/><Relationship Id="rId139" Type="http://schemas.openxmlformats.org/officeDocument/2006/relationships/hyperlink" Target="mailto:Eric.Vigneault@henryschein.ca" TargetMode="External"/><Relationship Id="rId85" Type="http://schemas.openxmlformats.org/officeDocument/2006/relationships/hyperlink" Target="mailto:Dany.Ricard@henryschein.ca" TargetMode="External"/><Relationship Id="rId150" Type="http://schemas.openxmlformats.org/officeDocument/2006/relationships/hyperlink" Target="mailto:nicolas.dufour@henryschein.ca" TargetMode="External"/><Relationship Id="rId171" Type="http://schemas.openxmlformats.org/officeDocument/2006/relationships/hyperlink" Target="mailto:John.McGuire@henryschein.ca" TargetMode="External"/><Relationship Id="rId192" Type="http://schemas.openxmlformats.org/officeDocument/2006/relationships/hyperlink" Target="mailto:Ian.Joyce@henryschein.ca" TargetMode="External"/><Relationship Id="rId206" Type="http://schemas.openxmlformats.org/officeDocument/2006/relationships/hyperlink" Target="mailto:Kai.Milkert@henryschein.ca" TargetMode="External"/><Relationship Id="rId227" Type="http://schemas.openxmlformats.org/officeDocument/2006/relationships/hyperlink" Target="mailto:Tyler.Mcclendon@henryschein.ca" TargetMode="External"/><Relationship Id="rId248" Type="http://schemas.openxmlformats.org/officeDocument/2006/relationships/hyperlink" Target="mailto:Justin.Branco@henryschein.ca" TargetMode="External"/><Relationship Id="rId269" Type="http://schemas.openxmlformats.org/officeDocument/2006/relationships/hyperlink" Target="mailto:Ed.Smith@henryschein.ca" TargetMode="External"/><Relationship Id="rId12" Type="http://schemas.openxmlformats.org/officeDocument/2006/relationships/hyperlink" Target="mailto:John.Luong@henryschein.ca" TargetMode="External"/><Relationship Id="rId33" Type="http://schemas.openxmlformats.org/officeDocument/2006/relationships/hyperlink" Target="mailto:Rick.Stamm@henryschein.ca" TargetMode="External"/><Relationship Id="rId108" Type="http://schemas.openxmlformats.org/officeDocument/2006/relationships/hyperlink" Target="mailto:John.Luong@henryschein.ca" TargetMode="External"/><Relationship Id="rId129" Type="http://schemas.openxmlformats.org/officeDocument/2006/relationships/hyperlink" Target="mailto:Kyle.Gibbard@henryschein.ca" TargetMode="External"/><Relationship Id="rId54" Type="http://schemas.openxmlformats.org/officeDocument/2006/relationships/hyperlink" Target="mailto:Mark.Carten@henryschein.ca" TargetMode="External"/><Relationship Id="rId75" Type="http://schemas.openxmlformats.org/officeDocument/2006/relationships/hyperlink" Target="mailto:Gorki.Nikolic@henryschein.ca" TargetMode="External"/><Relationship Id="rId96" Type="http://schemas.openxmlformats.org/officeDocument/2006/relationships/hyperlink" Target="mailto:Danny.Naami@henryschein.ca" TargetMode="External"/><Relationship Id="rId140" Type="http://schemas.openxmlformats.org/officeDocument/2006/relationships/hyperlink" Target="mailto:Michael.Weiss@henryschein.ca" TargetMode="External"/><Relationship Id="rId161" Type="http://schemas.openxmlformats.org/officeDocument/2006/relationships/hyperlink" Target="mailto:Cindy.Petrie@henryschein.ca" TargetMode="External"/><Relationship Id="rId182" Type="http://schemas.openxmlformats.org/officeDocument/2006/relationships/hyperlink" Target="mailto:Dino.Lisi@henryschein.ca" TargetMode="External"/><Relationship Id="rId217" Type="http://schemas.openxmlformats.org/officeDocument/2006/relationships/hyperlink" Target="mailto:Curtis.MacDougall@henryschein.ca" TargetMode="External"/><Relationship Id="rId6" Type="http://schemas.openxmlformats.org/officeDocument/2006/relationships/hyperlink" Target="mailto:Melanie.Desjardins@henryschein.ca" TargetMode="External"/><Relationship Id="rId238" Type="http://schemas.openxmlformats.org/officeDocument/2006/relationships/hyperlink" Target="mailto:Eric.Micallef@henryschein.ca" TargetMode="External"/><Relationship Id="rId259" Type="http://schemas.openxmlformats.org/officeDocument/2006/relationships/hyperlink" Target="mailto:John.Luong@henryschein.ca" TargetMode="External"/><Relationship Id="rId23" Type="http://schemas.openxmlformats.org/officeDocument/2006/relationships/hyperlink" Target="mailto:John.Meredith@henryschein.ca" TargetMode="External"/><Relationship Id="rId119" Type="http://schemas.openxmlformats.org/officeDocument/2006/relationships/hyperlink" Target="mailto:John.Luong@henryschein.ca" TargetMode="External"/><Relationship Id="rId270" Type="http://schemas.openxmlformats.org/officeDocument/2006/relationships/hyperlink" Target="mailto:Julie.Blackburn@henryschein.ca" TargetMode="External"/><Relationship Id="rId44" Type="http://schemas.openxmlformats.org/officeDocument/2006/relationships/hyperlink" Target="mailto:Dustin.Bedard@henryschein.ca" TargetMode="External"/><Relationship Id="rId65" Type="http://schemas.openxmlformats.org/officeDocument/2006/relationships/hyperlink" Target="mailto:Mathias.Ouellette@henryschein.ca" TargetMode="External"/><Relationship Id="rId86" Type="http://schemas.openxmlformats.org/officeDocument/2006/relationships/hyperlink" Target="mailto:Rob.Hinks@henryschein.ca" TargetMode="External"/><Relationship Id="rId130" Type="http://schemas.openxmlformats.org/officeDocument/2006/relationships/hyperlink" Target="mailto:Will.Plenert@henryschein.ca" TargetMode="External"/><Relationship Id="rId151" Type="http://schemas.openxmlformats.org/officeDocument/2006/relationships/hyperlink" Target="mailto:Mark.Grant@henryschein.ca" TargetMode="External"/><Relationship Id="rId172" Type="http://schemas.openxmlformats.org/officeDocument/2006/relationships/hyperlink" Target="mailto:Gerry.Fraser@henryschein.ca" TargetMode="External"/><Relationship Id="rId193" Type="http://schemas.openxmlformats.org/officeDocument/2006/relationships/hyperlink" Target="mailto:Julian.Forster@henryschein.ca" TargetMode="External"/><Relationship Id="rId207" Type="http://schemas.openxmlformats.org/officeDocument/2006/relationships/hyperlink" Target="mailto:Daron.Fisher@henryschein.ca" TargetMode="External"/><Relationship Id="rId228" Type="http://schemas.openxmlformats.org/officeDocument/2006/relationships/hyperlink" Target="mailto:Mike.Bromberg@Henryschein.ca" TargetMode="External"/><Relationship Id="rId249" Type="http://schemas.openxmlformats.org/officeDocument/2006/relationships/hyperlink" Target="mailto:Suzanne.Lebeau@henryschein.ca" TargetMode="External"/><Relationship Id="rId13" Type="http://schemas.openxmlformats.org/officeDocument/2006/relationships/hyperlink" Target="mailto:Teresa.McNeil@henryschein.ca" TargetMode="External"/><Relationship Id="rId109" Type="http://schemas.openxmlformats.org/officeDocument/2006/relationships/hyperlink" Target="mailto:John.Luong@henryschein.ca" TargetMode="External"/><Relationship Id="rId260" Type="http://schemas.openxmlformats.org/officeDocument/2006/relationships/hyperlink" Target="mailto:Adam.Jones@henryschein.ca" TargetMode="External"/><Relationship Id="rId34" Type="http://schemas.openxmlformats.org/officeDocument/2006/relationships/hyperlink" Target="mailto:Xavier.Bourret@henryschein.ca" TargetMode="External"/><Relationship Id="rId55" Type="http://schemas.openxmlformats.org/officeDocument/2006/relationships/hyperlink" Target="mailto:Shawn.Stevens@henryschein.ca" TargetMode="External"/><Relationship Id="rId76" Type="http://schemas.openxmlformats.org/officeDocument/2006/relationships/hyperlink" Target="mailto:Robert.Cluett@henryschein.ca" TargetMode="External"/><Relationship Id="rId97" Type="http://schemas.openxmlformats.org/officeDocument/2006/relationships/hyperlink" Target="mailto:John.Luong@henryschein.ca" TargetMode="External"/><Relationship Id="rId120" Type="http://schemas.openxmlformats.org/officeDocument/2006/relationships/hyperlink" Target="mailto:Dana.Noreen@henryschein.ca" TargetMode="External"/><Relationship Id="rId141" Type="http://schemas.openxmlformats.org/officeDocument/2006/relationships/hyperlink" Target="mailto:Francois.Beauchamp@henryschein.ca" TargetMode="External"/><Relationship Id="rId7" Type="http://schemas.openxmlformats.org/officeDocument/2006/relationships/hyperlink" Target="mailto:David.Haskins@henryschein.ca" TargetMode="External"/><Relationship Id="rId162" Type="http://schemas.openxmlformats.org/officeDocument/2006/relationships/hyperlink" Target="mailto:Coloman.Lipniczky@henryschein.ca" TargetMode="External"/><Relationship Id="rId183" Type="http://schemas.openxmlformats.org/officeDocument/2006/relationships/hyperlink" Target="mailto:Brendan.Duvall@henryschein.ca" TargetMode="External"/><Relationship Id="rId218" Type="http://schemas.openxmlformats.org/officeDocument/2006/relationships/hyperlink" Target="mailto:Yanick.Lefebvre@henryschein.ca" TargetMode="External"/><Relationship Id="rId239" Type="http://schemas.openxmlformats.org/officeDocument/2006/relationships/hyperlink" Target="mailto:Babar.Memon@henryschein.ca" TargetMode="External"/><Relationship Id="rId250" Type="http://schemas.openxmlformats.org/officeDocument/2006/relationships/hyperlink" Target="mailto:Chris.Murray@henryschein.ca" TargetMode="External"/><Relationship Id="rId271" Type="http://schemas.openxmlformats.org/officeDocument/2006/relationships/hyperlink" Target="mailto:Megan.Schick@henryschein.ca" TargetMode="External"/><Relationship Id="rId24" Type="http://schemas.openxmlformats.org/officeDocument/2006/relationships/hyperlink" Target="mailto:Sylvain.Allard@henryschein.ca" TargetMode="External"/><Relationship Id="rId45" Type="http://schemas.openxmlformats.org/officeDocument/2006/relationships/hyperlink" Target="mailto:Peter.Morris@henryschein.ca" TargetMode="External"/><Relationship Id="rId66" Type="http://schemas.openxmlformats.org/officeDocument/2006/relationships/hyperlink" Target="mailto:jeff.howe@henryschein.ca" TargetMode="External"/><Relationship Id="rId87" Type="http://schemas.openxmlformats.org/officeDocument/2006/relationships/hyperlink" Target="mailto:Kevin.Miller@henryschein.ca" TargetMode="External"/><Relationship Id="rId110" Type="http://schemas.openxmlformats.org/officeDocument/2006/relationships/hyperlink" Target="mailto:John.Luong@henryschein.ca" TargetMode="External"/><Relationship Id="rId131" Type="http://schemas.openxmlformats.org/officeDocument/2006/relationships/hyperlink" Target="mailto:Tom.Mckay@henryschein.ca" TargetMode="External"/><Relationship Id="rId152" Type="http://schemas.openxmlformats.org/officeDocument/2006/relationships/hyperlink" Target="mailto:Kelly.Fradette@henryschein.ca" TargetMode="External"/><Relationship Id="rId173" Type="http://schemas.openxmlformats.org/officeDocument/2006/relationships/hyperlink" Target="mailto:Annette.Muller@henryschein.ca" TargetMode="External"/><Relationship Id="rId194" Type="http://schemas.openxmlformats.org/officeDocument/2006/relationships/hyperlink" Target="mailto:Yves.Trepanier@henryschein.ca" TargetMode="External"/><Relationship Id="rId208" Type="http://schemas.openxmlformats.org/officeDocument/2006/relationships/hyperlink" Target="mailto:Joe.Lewis@henryschein.ca" TargetMode="External"/><Relationship Id="rId229" Type="http://schemas.openxmlformats.org/officeDocument/2006/relationships/hyperlink" Target="mailto:Tom.Walencik@Henryschein.ca" TargetMode="External"/><Relationship Id="rId240" Type="http://schemas.openxmlformats.org/officeDocument/2006/relationships/hyperlink" Target="mailto:Fatos.Terova@henryschein.ca" TargetMode="External"/><Relationship Id="rId261" Type="http://schemas.openxmlformats.org/officeDocument/2006/relationships/hyperlink" Target="mailto:Catherine.Morris@henryschein.ca" TargetMode="External"/><Relationship Id="rId14" Type="http://schemas.openxmlformats.org/officeDocument/2006/relationships/hyperlink" Target="mailto:Erikka.Gilmore@henryschein.ca" TargetMode="External"/><Relationship Id="rId35" Type="http://schemas.openxmlformats.org/officeDocument/2006/relationships/hyperlink" Target="mailto:Jeanette.Noronha@henryschein.ca" TargetMode="External"/><Relationship Id="rId56" Type="http://schemas.openxmlformats.org/officeDocument/2006/relationships/hyperlink" Target="mailto:Monique.Konkin@henryschein.ca" TargetMode="External"/><Relationship Id="rId77" Type="http://schemas.openxmlformats.org/officeDocument/2006/relationships/hyperlink" Target="mailto:Wahid.Alem@henryschein.ca" TargetMode="External"/><Relationship Id="rId100" Type="http://schemas.openxmlformats.org/officeDocument/2006/relationships/hyperlink" Target="mailto:John.Luong@henryschein.ca" TargetMode="External"/><Relationship Id="rId8" Type="http://schemas.openxmlformats.org/officeDocument/2006/relationships/hyperlink" Target="mailto:Martin.David@henryschein.ca" TargetMode="External"/><Relationship Id="rId98" Type="http://schemas.openxmlformats.org/officeDocument/2006/relationships/hyperlink" Target="mailto:John.Luong@henryschein.ca" TargetMode="External"/><Relationship Id="rId121" Type="http://schemas.openxmlformats.org/officeDocument/2006/relationships/hyperlink" Target="mailto:Razmig.Tatoulian@henryschein.ca" TargetMode="External"/><Relationship Id="rId142" Type="http://schemas.openxmlformats.org/officeDocument/2006/relationships/hyperlink" Target="mailto:Keegan.Dunn@henryschein.ca" TargetMode="External"/><Relationship Id="rId163" Type="http://schemas.openxmlformats.org/officeDocument/2006/relationships/hyperlink" Target="mailto:andrew.savoie@henryschein.ca" TargetMode="External"/><Relationship Id="rId184" Type="http://schemas.openxmlformats.org/officeDocument/2006/relationships/hyperlink" Target="mailto:Tony.Kranjcevic@henryschein.ca" TargetMode="External"/><Relationship Id="rId219" Type="http://schemas.openxmlformats.org/officeDocument/2006/relationships/hyperlink" Target="mailto:Mitchell.Rasmussen@Henryschein.ca" TargetMode="External"/><Relationship Id="rId230" Type="http://schemas.openxmlformats.org/officeDocument/2006/relationships/hyperlink" Target="mailto:Filomena.Cotoia@henryschein.ca" TargetMode="External"/><Relationship Id="rId251" Type="http://schemas.openxmlformats.org/officeDocument/2006/relationships/hyperlink" Target="mailto:John.Luong@henryschein.ca" TargetMode="External"/><Relationship Id="rId25" Type="http://schemas.openxmlformats.org/officeDocument/2006/relationships/hyperlink" Target="mailto:John.Meredith@henryschein.ca" TargetMode="External"/><Relationship Id="rId46" Type="http://schemas.openxmlformats.org/officeDocument/2006/relationships/hyperlink" Target="mailto:Nicolas.Lebel@henryschein.ca" TargetMode="External"/><Relationship Id="rId67" Type="http://schemas.openxmlformats.org/officeDocument/2006/relationships/hyperlink" Target="mailto:Karl.Lambert@henryschein.ca" TargetMode="External"/><Relationship Id="rId272" Type="http://schemas.openxmlformats.org/officeDocument/2006/relationships/hyperlink" Target="mailto:Jeanette.Noronha@henryschein.ca" TargetMode="External"/><Relationship Id="rId88" Type="http://schemas.openxmlformats.org/officeDocument/2006/relationships/hyperlink" Target="mailto:Jack.Freeborn@henryschein.ca" TargetMode="External"/><Relationship Id="rId111" Type="http://schemas.openxmlformats.org/officeDocument/2006/relationships/hyperlink" Target="mailto:John.Luong@henryschein.ca" TargetMode="External"/><Relationship Id="rId132" Type="http://schemas.openxmlformats.org/officeDocument/2006/relationships/hyperlink" Target="mailto:Stephen.Forster@henryschein.ca" TargetMode="External"/><Relationship Id="rId153" Type="http://schemas.openxmlformats.org/officeDocument/2006/relationships/hyperlink" Target="mailto:Jonathan.McKnight@henryschein.ca" TargetMode="External"/><Relationship Id="rId174" Type="http://schemas.openxmlformats.org/officeDocument/2006/relationships/hyperlink" Target="mailto:Cole.Beacham@henryschein.ca" TargetMode="External"/><Relationship Id="rId195" Type="http://schemas.openxmlformats.org/officeDocument/2006/relationships/hyperlink" Target="mailto:Caroline.Bouvier@henryschein.ca" TargetMode="External"/><Relationship Id="rId209" Type="http://schemas.openxmlformats.org/officeDocument/2006/relationships/hyperlink" Target="mailto:Ivan.Sonicki@henryschein.ca" TargetMode="External"/><Relationship Id="rId220" Type="http://schemas.openxmlformats.org/officeDocument/2006/relationships/hyperlink" Target="mailto:Ferdinand.Kumati@Henryschein.ca" TargetMode="External"/><Relationship Id="rId241" Type="http://schemas.openxmlformats.org/officeDocument/2006/relationships/hyperlink" Target="mailto:Don.Fleming@henryschein.ca" TargetMode="External"/><Relationship Id="rId15" Type="http://schemas.openxmlformats.org/officeDocument/2006/relationships/hyperlink" Target="mailto:Teresa.McNeil@henryschein.ca" TargetMode="External"/><Relationship Id="rId36" Type="http://schemas.openxmlformats.org/officeDocument/2006/relationships/hyperlink" Target="mailto:Lyndon.Perrault@henryschein.ca" TargetMode="External"/><Relationship Id="rId57" Type="http://schemas.openxmlformats.org/officeDocument/2006/relationships/hyperlink" Target="mailto:Ted.Moulis@henryschein.ca" TargetMode="External"/><Relationship Id="rId262" Type="http://schemas.openxmlformats.org/officeDocument/2006/relationships/hyperlink" Target="mailto:Jamie.Imeson@henryschein.ca" TargetMode="External"/><Relationship Id="rId78" Type="http://schemas.openxmlformats.org/officeDocument/2006/relationships/hyperlink" Target="mailto:Tyler.Mcclendon@henryschein.ca" TargetMode="External"/><Relationship Id="rId99" Type="http://schemas.openxmlformats.org/officeDocument/2006/relationships/hyperlink" Target="mailto:John.Luong@henryschein.ca" TargetMode="External"/><Relationship Id="rId101" Type="http://schemas.openxmlformats.org/officeDocument/2006/relationships/hyperlink" Target="mailto:John.Luong@henryschein.ca" TargetMode="External"/><Relationship Id="rId122" Type="http://schemas.openxmlformats.org/officeDocument/2006/relationships/hyperlink" Target="mailto:Ian.Doyle@henryschein.ca" TargetMode="External"/><Relationship Id="rId143" Type="http://schemas.openxmlformats.org/officeDocument/2006/relationships/hyperlink" Target="mailto:Preeti.Amin@henryschein.ca" TargetMode="External"/><Relationship Id="rId164" Type="http://schemas.openxmlformats.org/officeDocument/2006/relationships/hyperlink" Target="mailto:Serge.Lacroix@henryschein.ca" TargetMode="External"/><Relationship Id="rId185" Type="http://schemas.openxmlformats.org/officeDocument/2006/relationships/hyperlink" Target="mailto:Mario.Charette@henryschein.ca" TargetMode="External"/><Relationship Id="rId9" Type="http://schemas.openxmlformats.org/officeDocument/2006/relationships/hyperlink" Target="mailto:Brian.Kinash@henryschein.ca" TargetMode="External"/><Relationship Id="rId210" Type="http://schemas.openxmlformats.org/officeDocument/2006/relationships/hyperlink" Target="mailto:Mark.Moore@henryschein.ca" TargetMode="External"/><Relationship Id="rId26" Type="http://schemas.openxmlformats.org/officeDocument/2006/relationships/hyperlink" Target="mailto:Anoush.Ekmekjian@henryschein.ca" TargetMode="External"/><Relationship Id="rId231" Type="http://schemas.openxmlformats.org/officeDocument/2006/relationships/hyperlink" Target="mailto:Marie-Eve.Leclerc@henryschein.ca" TargetMode="External"/><Relationship Id="rId252" Type="http://schemas.openxmlformats.org/officeDocument/2006/relationships/hyperlink" Target="mailto:Adam.Jones@henryschein.ca" TargetMode="External"/><Relationship Id="rId273" Type="http://schemas.openxmlformats.org/officeDocument/2006/relationships/hyperlink" Target="mailto:Michelle.Hillaby@henryschein.ca" TargetMode="External"/><Relationship Id="rId47" Type="http://schemas.openxmlformats.org/officeDocument/2006/relationships/hyperlink" Target="mailto:Dan.Valenzuela@henryschein.ca" TargetMode="External"/><Relationship Id="rId68" Type="http://schemas.openxmlformats.org/officeDocument/2006/relationships/hyperlink" Target="mailto:Adeel.Iqbal@henryschein.ca" TargetMode="External"/><Relationship Id="rId89" Type="http://schemas.openxmlformats.org/officeDocument/2006/relationships/hyperlink" Target="mailto:Francois.Caron-Soucy@henryschein.ca" TargetMode="External"/><Relationship Id="rId112" Type="http://schemas.openxmlformats.org/officeDocument/2006/relationships/hyperlink" Target="mailto:John.Luong@henryschein.ca" TargetMode="External"/><Relationship Id="rId133" Type="http://schemas.openxmlformats.org/officeDocument/2006/relationships/hyperlink" Target="mailto:Jason.Gangeau@henryschein.ca" TargetMode="External"/><Relationship Id="rId154" Type="http://schemas.openxmlformats.org/officeDocument/2006/relationships/hyperlink" Target="mailto:Jeff.Heckbert@henryschein.ca" TargetMode="External"/><Relationship Id="rId175" Type="http://schemas.openxmlformats.org/officeDocument/2006/relationships/hyperlink" Target="mailto:Ken.Croney@henryschein.ca" TargetMode="External"/><Relationship Id="rId196" Type="http://schemas.openxmlformats.org/officeDocument/2006/relationships/hyperlink" Target="mailto:Paul.Martin@henryschein.ca" TargetMode="External"/><Relationship Id="rId200" Type="http://schemas.openxmlformats.org/officeDocument/2006/relationships/hyperlink" Target="mailto:Doug.White@henryschein.ca" TargetMode="External"/><Relationship Id="rId16" Type="http://schemas.openxmlformats.org/officeDocument/2006/relationships/hyperlink" Target="mailto:Robert.Shandro@henryschein.ca" TargetMode="External"/><Relationship Id="rId221" Type="http://schemas.openxmlformats.org/officeDocument/2006/relationships/hyperlink" Target="mailto:Jonathan.Boivin@Henryschein.ca" TargetMode="External"/><Relationship Id="rId242" Type="http://schemas.openxmlformats.org/officeDocument/2006/relationships/hyperlink" Target="mailto:Simon.Archer@henryschein.ca" TargetMode="External"/><Relationship Id="rId263" Type="http://schemas.openxmlformats.org/officeDocument/2006/relationships/hyperlink" Target="mailto:Jason.Kirkbride@henryschein.ca" TargetMode="External"/><Relationship Id="rId37" Type="http://schemas.openxmlformats.org/officeDocument/2006/relationships/hyperlink" Target="mailto:Cherry.Chen-Egan@henryschein.ca" TargetMode="External"/><Relationship Id="rId58" Type="http://schemas.openxmlformats.org/officeDocument/2006/relationships/hyperlink" Target="mailto:Cornell.Ruddock@zahncanada.ca" TargetMode="External"/><Relationship Id="rId79" Type="http://schemas.openxmlformats.org/officeDocument/2006/relationships/hyperlink" Target="mailto:Al.Mawji@henryschein.ca" TargetMode="External"/><Relationship Id="rId102" Type="http://schemas.openxmlformats.org/officeDocument/2006/relationships/hyperlink" Target="mailto:John.Luong@henryschein.ca" TargetMode="External"/><Relationship Id="rId123" Type="http://schemas.openxmlformats.org/officeDocument/2006/relationships/hyperlink" Target="mailto:Frank.Pedersen@henryschein.ca" TargetMode="External"/><Relationship Id="rId144" Type="http://schemas.openxmlformats.org/officeDocument/2006/relationships/hyperlink" Target="mailto:Jane.Wanstall@henryschein.ca" TargetMode="External"/><Relationship Id="rId90" Type="http://schemas.openxmlformats.org/officeDocument/2006/relationships/hyperlink" Target="mailto:John.Goodwin@henryschein.ca" TargetMode="External"/><Relationship Id="rId165" Type="http://schemas.openxmlformats.org/officeDocument/2006/relationships/hyperlink" Target="mailto:Steve.Park@henryschein.ca" TargetMode="External"/><Relationship Id="rId186" Type="http://schemas.openxmlformats.org/officeDocument/2006/relationships/hyperlink" Target="mailto:Jenna.Plenert@henryschein.ca" TargetMode="External"/><Relationship Id="rId211" Type="http://schemas.openxmlformats.org/officeDocument/2006/relationships/hyperlink" Target="mailto:Richard.Peddle@henryschein.ca" TargetMode="External"/><Relationship Id="rId232" Type="http://schemas.openxmlformats.org/officeDocument/2006/relationships/hyperlink" Target="mailto:Graham.Mann@henryschein.ca" TargetMode="External"/><Relationship Id="rId253" Type="http://schemas.openxmlformats.org/officeDocument/2006/relationships/hyperlink" Target="mailto:Dustin.Cherniwchan@henryschein.ca" TargetMode="External"/><Relationship Id="rId274" Type="http://schemas.openxmlformats.org/officeDocument/2006/relationships/hyperlink" Target="mailto:John.Luong@henryschein.ca" TargetMode="External"/><Relationship Id="rId27" Type="http://schemas.openxmlformats.org/officeDocument/2006/relationships/hyperlink" Target="mailto:Carla.Amero@henryschein.ca" TargetMode="External"/><Relationship Id="rId48" Type="http://schemas.openxmlformats.org/officeDocument/2006/relationships/hyperlink" Target="mailto:Ciro.Mantilla@henryschein.ca" TargetMode="External"/><Relationship Id="rId69" Type="http://schemas.openxmlformats.org/officeDocument/2006/relationships/hyperlink" Target="mailto:Yannick.Senechal@henryschein.ca" TargetMode="External"/><Relationship Id="rId113" Type="http://schemas.openxmlformats.org/officeDocument/2006/relationships/hyperlink" Target="mailto:John.Luong@henryschein.ca" TargetMode="External"/><Relationship Id="rId134" Type="http://schemas.openxmlformats.org/officeDocument/2006/relationships/hyperlink" Target="mailto:Eric.K-LaFlamme@henryschein.ca" TargetMode="External"/><Relationship Id="rId80" Type="http://schemas.openxmlformats.org/officeDocument/2006/relationships/hyperlink" Target="mailto:Barbara.Brown@henryschein.ca" TargetMode="External"/><Relationship Id="rId155" Type="http://schemas.openxmlformats.org/officeDocument/2006/relationships/hyperlink" Target="mailto:Jason.Carway@henryschein.ca" TargetMode="External"/><Relationship Id="rId176" Type="http://schemas.openxmlformats.org/officeDocument/2006/relationships/hyperlink" Target="mailto:Laura.Bauder@henryschein.ca" TargetMode="External"/><Relationship Id="rId197" Type="http://schemas.openxmlformats.org/officeDocument/2006/relationships/hyperlink" Target="mailto:James.Svirk@henryschein.ca" TargetMode="External"/><Relationship Id="rId201" Type="http://schemas.openxmlformats.org/officeDocument/2006/relationships/hyperlink" Target="mailto:Michael.chilibeck@henryschein.ca" TargetMode="External"/><Relationship Id="rId222" Type="http://schemas.openxmlformats.org/officeDocument/2006/relationships/hyperlink" Target="mailto:Jo-Anne.Richardson@henryschein.ca" TargetMode="External"/><Relationship Id="rId243" Type="http://schemas.openxmlformats.org/officeDocument/2006/relationships/hyperlink" Target="mailto:Kyle.Cox@henryschein.ca" TargetMode="External"/><Relationship Id="rId264" Type="http://schemas.openxmlformats.org/officeDocument/2006/relationships/hyperlink" Target="mailto:Nathan.Morrison@henryschein.ca" TargetMode="External"/><Relationship Id="rId17" Type="http://schemas.openxmlformats.org/officeDocument/2006/relationships/hyperlink" Target="mailto:Victoria.Grylls@henryschein.ca" TargetMode="External"/><Relationship Id="rId38" Type="http://schemas.openxmlformats.org/officeDocument/2006/relationships/hyperlink" Target="mailto:Cherry.Chen-Egan@henryschein.ca" TargetMode="External"/><Relationship Id="rId59" Type="http://schemas.openxmlformats.org/officeDocument/2006/relationships/hyperlink" Target="mailto:Yanick.deMontigny@henryschein.ca" TargetMode="External"/><Relationship Id="rId103" Type="http://schemas.openxmlformats.org/officeDocument/2006/relationships/hyperlink" Target="mailto:John.Luong@henryschein.ca" TargetMode="External"/><Relationship Id="rId124" Type="http://schemas.openxmlformats.org/officeDocument/2006/relationships/hyperlink" Target="mailto:Tom.Zalac@henryschein.ca" TargetMode="External"/><Relationship Id="rId70" Type="http://schemas.openxmlformats.org/officeDocument/2006/relationships/hyperlink" Target="mailto:Olivia.Vickovich@henryschein.ca" TargetMode="External"/><Relationship Id="rId91" Type="http://schemas.openxmlformats.org/officeDocument/2006/relationships/hyperlink" Target="mailto:Charles.Ivy@henryschein.ca" TargetMode="External"/><Relationship Id="rId145" Type="http://schemas.openxmlformats.org/officeDocument/2006/relationships/hyperlink" Target="mailto:Gerry.Fraser@henryschein.ca" TargetMode="External"/><Relationship Id="rId166" Type="http://schemas.openxmlformats.org/officeDocument/2006/relationships/hyperlink" Target="mailto:Simon.Giles@henryschein.ca" TargetMode="External"/><Relationship Id="rId187" Type="http://schemas.openxmlformats.org/officeDocument/2006/relationships/hyperlink" Target="mailto:Kirsten.Skocdopole@henryschein.ca" TargetMode="External"/><Relationship Id="rId1" Type="http://schemas.openxmlformats.org/officeDocument/2006/relationships/hyperlink" Target="mailto:Marc.Cyr-Desruisseaux@henryschein.ca" TargetMode="External"/><Relationship Id="rId212" Type="http://schemas.openxmlformats.org/officeDocument/2006/relationships/hyperlink" Target="mailto:Julia.Lenton@henryschein.ca" TargetMode="External"/><Relationship Id="rId233" Type="http://schemas.openxmlformats.org/officeDocument/2006/relationships/hyperlink" Target="mailto:Marc.Wagner@henryschein.ca" TargetMode="External"/><Relationship Id="rId254" Type="http://schemas.openxmlformats.org/officeDocument/2006/relationships/hyperlink" Target="mailto:David.Suaza@henryschein.ca" TargetMode="External"/><Relationship Id="rId28" Type="http://schemas.openxmlformats.org/officeDocument/2006/relationships/hyperlink" Target="mailto:Tavis.Schwingboth@henryschein.ca" TargetMode="External"/><Relationship Id="rId49" Type="http://schemas.openxmlformats.org/officeDocument/2006/relationships/hyperlink" Target="mailto:Carl.Donohue@henryschein.ca" TargetMode="External"/><Relationship Id="rId114" Type="http://schemas.openxmlformats.org/officeDocument/2006/relationships/hyperlink" Target="mailto:John.Luong@henryschein.ca" TargetMode="External"/><Relationship Id="rId275" Type="http://schemas.openxmlformats.org/officeDocument/2006/relationships/hyperlink" Target="mailto:John.Luong@henryschein.ca" TargetMode="External"/><Relationship Id="rId60" Type="http://schemas.openxmlformats.org/officeDocument/2006/relationships/hyperlink" Target="mailto:Simon.Vaudry@henryschein.ca" TargetMode="External"/><Relationship Id="rId81" Type="http://schemas.openxmlformats.org/officeDocument/2006/relationships/hyperlink" Target="mailto:Bill.Dowe@ZahnCanada.ca" TargetMode="External"/><Relationship Id="rId135" Type="http://schemas.openxmlformats.org/officeDocument/2006/relationships/hyperlink" Target="mailto:Michelle.Hillaby@henryschein.ca" TargetMode="External"/><Relationship Id="rId156" Type="http://schemas.openxmlformats.org/officeDocument/2006/relationships/hyperlink" Target="mailto:Hubert.Joanis@henryschein.ca" TargetMode="External"/><Relationship Id="rId177" Type="http://schemas.openxmlformats.org/officeDocument/2006/relationships/hyperlink" Target="mailto:Tyler.Thompson@henryschein.ca" TargetMode="External"/><Relationship Id="rId198" Type="http://schemas.openxmlformats.org/officeDocument/2006/relationships/hyperlink" Target="mailto:Michelle.Harrisson@henryschein.ca" TargetMode="External"/><Relationship Id="rId202" Type="http://schemas.openxmlformats.org/officeDocument/2006/relationships/hyperlink" Target="mailto:Tom.jukna@henryschein.ca" TargetMode="External"/><Relationship Id="rId223" Type="http://schemas.openxmlformats.org/officeDocument/2006/relationships/hyperlink" Target="mailto:Andre.Liew@henryschein.ca" TargetMode="External"/><Relationship Id="rId244" Type="http://schemas.openxmlformats.org/officeDocument/2006/relationships/hyperlink" Target="mailto:Barbara.Mcknight@henryschein.ca" TargetMode="External"/><Relationship Id="rId18" Type="http://schemas.openxmlformats.org/officeDocument/2006/relationships/hyperlink" Target="mailto:Teresa.McNeil@henryschein.ca" TargetMode="External"/><Relationship Id="rId39" Type="http://schemas.openxmlformats.org/officeDocument/2006/relationships/hyperlink" Target="mailto:Pierre-Luc.Charbonneau@henryschein.ca" TargetMode="External"/><Relationship Id="rId265" Type="http://schemas.openxmlformats.org/officeDocument/2006/relationships/hyperlink" Target="mailto:Frank.Curley@henryschein.ca" TargetMode="External"/><Relationship Id="rId50" Type="http://schemas.openxmlformats.org/officeDocument/2006/relationships/hyperlink" Target="mailto:Scott.Cosper@henryschein.ca" TargetMode="External"/><Relationship Id="rId104" Type="http://schemas.openxmlformats.org/officeDocument/2006/relationships/hyperlink" Target="mailto:John.Luong@henryschein.ca" TargetMode="External"/><Relationship Id="rId125" Type="http://schemas.openxmlformats.org/officeDocument/2006/relationships/hyperlink" Target="mailto:Peter.Muscat@henryschein.ca" TargetMode="External"/><Relationship Id="rId146" Type="http://schemas.openxmlformats.org/officeDocument/2006/relationships/hyperlink" Target="mailto:Murray.Skinner@henryschein.ca" TargetMode="External"/><Relationship Id="rId167" Type="http://schemas.openxmlformats.org/officeDocument/2006/relationships/hyperlink" Target="mailto:Andrew.Sackrider@henryschein.ca" TargetMode="External"/><Relationship Id="rId188" Type="http://schemas.openxmlformats.org/officeDocument/2006/relationships/hyperlink" Target="mailto:Rodney.Lobozar@henryschein.ca" TargetMode="External"/><Relationship Id="rId71" Type="http://schemas.openxmlformats.org/officeDocument/2006/relationships/hyperlink" Target="mailto:Alex.Szostakowski@henryschein.ca" TargetMode="External"/><Relationship Id="rId92" Type="http://schemas.openxmlformats.org/officeDocument/2006/relationships/hyperlink" Target="mailto:Charles.Ivy@henryschein.ca" TargetMode="External"/><Relationship Id="rId213" Type="http://schemas.openxmlformats.org/officeDocument/2006/relationships/hyperlink" Target="mailto:Chad.Piper@henryschein.ca" TargetMode="External"/><Relationship Id="rId234" Type="http://schemas.openxmlformats.org/officeDocument/2006/relationships/hyperlink" Target="mailto:Daniel.Nicholaichuk@henryschein.ca" TargetMode="External"/><Relationship Id="rId2" Type="http://schemas.openxmlformats.org/officeDocument/2006/relationships/hyperlink" Target="mailto:David.Lai@henryschein.ca" TargetMode="External"/><Relationship Id="rId29" Type="http://schemas.openxmlformats.org/officeDocument/2006/relationships/hyperlink" Target="mailto:Guy.Labbe@henryschein.ca" TargetMode="External"/><Relationship Id="rId255" Type="http://schemas.openxmlformats.org/officeDocument/2006/relationships/hyperlink" Target="mailto:Cherry.Chen-Egan@henryschein.ca" TargetMode="External"/><Relationship Id="rId276" Type="http://schemas.openxmlformats.org/officeDocument/2006/relationships/hyperlink" Target="mailto:John.Luong@henryschein.ca" TargetMode="External"/><Relationship Id="rId40" Type="http://schemas.openxmlformats.org/officeDocument/2006/relationships/hyperlink" Target="mailto:Manon.Ouimet@henryschein.ca" TargetMode="External"/><Relationship Id="rId115" Type="http://schemas.openxmlformats.org/officeDocument/2006/relationships/hyperlink" Target="mailto:John.Luong@henryschein.ca" TargetMode="External"/><Relationship Id="rId136" Type="http://schemas.openxmlformats.org/officeDocument/2006/relationships/hyperlink" Target="mailto:Brad.Pelletier@henryschein.ca" TargetMode="External"/><Relationship Id="rId157" Type="http://schemas.openxmlformats.org/officeDocument/2006/relationships/hyperlink" Target="mailto:Grey.Knechtel@henryschein.ca" TargetMode="External"/><Relationship Id="rId178" Type="http://schemas.openxmlformats.org/officeDocument/2006/relationships/hyperlink" Target="mailto:Jocelyn.Cordeau@henryschein.ca" TargetMode="External"/><Relationship Id="rId61" Type="http://schemas.openxmlformats.org/officeDocument/2006/relationships/hyperlink" Target="mailto:Robert.Horning@henryschein.ca" TargetMode="External"/><Relationship Id="rId82" Type="http://schemas.openxmlformats.org/officeDocument/2006/relationships/hyperlink" Target="mailto:John.Luong@henryschein.ca" TargetMode="External"/><Relationship Id="rId199" Type="http://schemas.openxmlformats.org/officeDocument/2006/relationships/hyperlink" Target="mailto:Christian.Bigaouette@henryschein.ca" TargetMode="External"/><Relationship Id="rId203" Type="http://schemas.openxmlformats.org/officeDocument/2006/relationships/hyperlink" Target="mailto:Brock.Crosson@henryschein.ca" TargetMode="External"/><Relationship Id="rId19" Type="http://schemas.openxmlformats.org/officeDocument/2006/relationships/hyperlink" Target="mailto:Pierre-Luc.Charbonneau@henryschein.ca" TargetMode="External"/><Relationship Id="rId224" Type="http://schemas.openxmlformats.org/officeDocument/2006/relationships/hyperlink" Target="mailto:Janice.Bruce@henryschein.ca" TargetMode="External"/><Relationship Id="rId245" Type="http://schemas.openxmlformats.org/officeDocument/2006/relationships/hyperlink" Target="mailto:Murray.Johnson@henryschein.ca" TargetMode="External"/><Relationship Id="rId266" Type="http://schemas.openxmlformats.org/officeDocument/2006/relationships/hyperlink" Target="mailto:Mitch.Gentles@henryschein.ca" TargetMode="External"/><Relationship Id="rId30" Type="http://schemas.openxmlformats.org/officeDocument/2006/relationships/hyperlink" Target="mailto:Martin.Kurek@henryschein.ca" TargetMode="External"/><Relationship Id="rId105" Type="http://schemas.openxmlformats.org/officeDocument/2006/relationships/hyperlink" Target="mailto:John.Luong@henryschein.ca" TargetMode="External"/><Relationship Id="rId126" Type="http://schemas.openxmlformats.org/officeDocument/2006/relationships/hyperlink" Target="mailto:Dominic.Morneau@henryschein.ca" TargetMode="External"/><Relationship Id="rId147" Type="http://schemas.openxmlformats.org/officeDocument/2006/relationships/hyperlink" Target="mailto:Shawn.Barnacle@henryschein.ca" TargetMode="External"/><Relationship Id="rId168" Type="http://schemas.openxmlformats.org/officeDocument/2006/relationships/hyperlink" Target="mailto:Serge.Lacroix@henryschein.ca" TargetMode="External"/><Relationship Id="rId51" Type="http://schemas.openxmlformats.org/officeDocument/2006/relationships/hyperlink" Target="mailto:John.Luong@henryschein.ca" TargetMode="External"/><Relationship Id="rId72" Type="http://schemas.openxmlformats.org/officeDocument/2006/relationships/hyperlink" Target="mailto:Paul.Macdougall@henryschein.ca" TargetMode="External"/><Relationship Id="rId93" Type="http://schemas.openxmlformats.org/officeDocument/2006/relationships/hyperlink" Target="mailto:Luc.Bertrand@henryschein.ca" TargetMode="External"/><Relationship Id="rId189" Type="http://schemas.openxmlformats.org/officeDocument/2006/relationships/hyperlink" Target="mailto:Treena.Adams@henryschein.ca" TargetMode="External"/><Relationship Id="rId3" Type="http://schemas.openxmlformats.org/officeDocument/2006/relationships/hyperlink" Target="mailto:David.Haskins@henryschein.ca" TargetMode="External"/><Relationship Id="rId214" Type="http://schemas.openxmlformats.org/officeDocument/2006/relationships/hyperlink" Target="mailto:Frederic.Gagnon@henryschein.ca" TargetMode="External"/><Relationship Id="rId235" Type="http://schemas.openxmlformats.org/officeDocument/2006/relationships/hyperlink" Target="mailto:Maged.Soliman@henryschein.ca" TargetMode="External"/><Relationship Id="rId256" Type="http://schemas.openxmlformats.org/officeDocument/2006/relationships/hyperlink" Target="mailto:Cherry.Chen-Egan@henryschein.ca" TargetMode="External"/><Relationship Id="rId277" Type="http://schemas.openxmlformats.org/officeDocument/2006/relationships/hyperlink" Target="mailto:John.Luong@henryschein.ca" TargetMode="External"/><Relationship Id="rId116" Type="http://schemas.openxmlformats.org/officeDocument/2006/relationships/hyperlink" Target="mailto:Greg.Vandermeer@henryschein.ca" TargetMode="External"/><Relationship Id="rId137" Type="http://schemas.openxmlformats.org/officeDocument/2006/relationships/hyperlink" Target="mailto:Andre.Roy@henryschein.ca" TargetMode="External"/><Relationship Id="rId158" Type="http://schemas.openxmlformats.org/officeDocument/2006/relationships/hyperlink" Target="mailto:Grant.Gaudes@henryschein.ca" TargetMode="External"/><Relationship Id="rId20" Type="http://schemas.openxmlformats.org/officeDocument/2006/relationships/hyperlink" Target="mailto:Michael.Vaillancourt@henryschein.ca" TargetMode="External"/><Relationship Id="rId41" Type="http://schemas.openxmlformats.org/officeDocument/2006/relationships/hyperlink" Target="mailto:Jesse.Sale@henryschein.ca" TargetMode="External"/><Relationship Id="rId62" Type="http://schemas.openxmlformats.org/officeDocument/2006/relationships/hyperlink" Target="mailto:Bruno.Gascon@henryschein.ca" TargetMode="External"/><Relationship Id="rId83" Type="http://schemas.openxmlformats.org/officeDocument/2006/relationships/hyperlink" Target="mailto:Martha.Gomez@henryschein.ca" TargetMode="External"/><Relationship Id="rId179" Type="http://schemas.openxmlformats.org/officeDocument/2006/relationships/hyperlink" Target="mailto:Alfred.Karba@henryschein.ca" TargetMode="External"/><Relationship Id="rId190" Type="http://schemas.openxmlformats.org/officeDocument/2006/relationships/hyperlink" Target="mailto:Fraser.Mctavish@henryschein.ca" TargetMode="External"/><Relationship Id="rId204" Type="http://schemas.openxmlformats.org/officeDocument/2006/relationships/hyperlink" Target="mailto:Ian.Colgur@henryschein.ca" TargetMode="External"/><Relationship Id="rId225" Type="http://schemas.openxmlformats.org/officeDocument/2006/relationships/hyperlink" Target="mailto:Micki.Rombouts@henryschein.ca" TargetMode="External"/><Relationship Id="rId246" Type="http://schemas.openxmlformats.org/officeDocument/2006/relationships/hyperlink" Target="mailto:Kevin.Boyd@henryschein.ca" TargetMode="External"/><Relationship Id="rId267" Type="http://schemas.openxmlformats.org/officeDocument/2006/relationships/hyperlink" Target="mailto:Robert.Rudd@henryschein.ca" TargetMode="External"/><Relationship Id="rId106" Type="http://schemas.openxmlformats.org/officeDocument/2006/relationships/hyperlink" Target="mailto:John.Luong@henryschein.ca" TargetMode="External"/><Relationship Id="rId127" Type="http://schemas.openxmlformats.org/officeDocument/2006/relationships/hyperlink" Target="mailto:Stephane.Debernardi@henryschein.ca" TargetMode="External"/><Relationship Id="rId10" Type="http://schemas.openxmlformats.org/officeDocument/2006/relationships/hyperlink" Target="mailto:Jenna.Azarko@henryschein.ca" TargetMode="External"/><Relationship Id="rId31" Type="http://schemas.openxmlformats.org/officeDocument/2006/relationships/hyperlink" Target="mailto:Peter.Bogdanich@henryschein.ca" TargetMode="External"/><Relationship Id="rId52" Type="http://schemas.openxmlformats.org/officeDocument/2006/relationships/hyperlink" Target="mailto:Sean.Mcgrattan@henryschein.ca" TargetMode="External"/><Relationship Id="rId73" Type="http://schemas.openxmlformats.org/officeDocument/2006/relationships/hyperlink" Target="mailto:Leon.Hall@henryschein.ca" TargetMode="External"/><Relationship Id="rId94" Type="http://schemas.openxmlformats.org/officeDocument/2006/relationships/hyperlink" Target="mailto:Cory.Shumila@henryschein.ca" TargetMode="External"/><Relationship Id="rId148" Type="http://schemas.openxmlformats.org/officeDocument/2006/relationships/hyperlink" Target="mailto:Richard.Wong@henryschein.ca" TargetMode="External"/><Relationship Id="rId169" Type="http://schemas.openxmlformats.org/officeDocument/2006/relationships/hyperlink" Target="mailto:Maralee.Miller@henryschein.ca" TargetMode="External"/><Relationship Id="rId4" Type="http://schemas.openxmlformats.org/officeDocument/2006/relationships/hyperlink" Target="mailto:David.Haskins@henryschein.ca" TargetMode="External"/><Relationship Id="rId180" Type="http://schemas.openxmlformats.org/officeDocument/2006/relationships/hyperlink" Target="mailto:Joseph.Karman@henryschein.ca" TargetMode="External"/><Relationship Id="rId215" Type="http://schemas.openxmlformats.org/officeDocument/2006/relationships/hyperlink" Target="mailto:Sieh.Moore@henryschein.ca" TargetMode="External"/><Relationship Id="rId236" Type="http://schemas.openxmlformats.org/officeDocument/2006/relationships/hyperlink" Target="mailto:Famida.Abrahim@henryschein.ca" TargetMode="External"/><Relationship Id="rId257" Type="http://schemas.openxmlformats.org/officeDocument/2006/relationships/hyperlink" Target="mailto:John.Luong@henryschein.ca" TargetMode="External"/><Relationship Id="rId278" Type="http://schemas.openxmlformats.org/officeDocument/2006/relationships/hyperlink" Target="mailto:John.Luong@henryschein.ca" TargetMode="External"/><Relationship Id="rId42" Type="http://schemas.openxmlformats.org/officeDocument/2006/relationships/hyperlink" Target="mailto:Trevor.Stelmaschuk@henryschein.ca" TargetMode="External"/><Relationship Id="rId84" Type="http://schemas.openxmlformats.org/officeDocument/2006/relationships/hyperlink" Target="mailto:Stefanos.Kromidakis@henryschein.ca" TargetMode="External"/><Relationship Id="rId138" Type="http://schemas.openxmlformats.org/officeDocument/2006/relationships/hyperlink" Target="mailto:Benoit.Lambert@henryschein.ca" TargetMode="External"/><Relationship Id="rId191" Type="http://schemas.openxmlformats.org/officeDocument/2006/relationships/hyperlink" Target="mailto:Ghislain.Larochelle@henryschein.ca" TargetMode="External"/><Relationship Id="rId205" Type="http://schemas.openxmlformats.org/officeDocument/2006/relationships/hyperlink" Target="mailto:Todd.Reynolds@henryschein.ca" TargetMode="External"/><Relationship Id="rId247" Type="http://schemas.openxmlformats.org/officeDocument/2006/relationships/hyperlink" Target="mailto:Julie.Noel@henryschein.ca" TargetMode="External"/><Relationship Id="rId107" Type="http://schemas.openxmlformats.org/officeDocument/2006/relationships/hyperlink" Target="mailto:John.Luong@henryschein.ca" TargetMode="External"/><Relationship Id="rId11" Type="http://schemas.openxmlformats.org/officeDocument/2006/relationships/hyperlink" Target="mailto:John.Meredith@henryschein.ca" TargetMode="External"/><Relationship Id="rId53" Type="http://schemas.openxmlformats.org/officeDocument/2006/relationships/hyperlink" Target="mailto:Rene.Erskine@henryschein.ca" TargetMode="External"/><Relationship Id="rId149" Type="http://schemas.openxmlformats.org/officeDocument/2006/relationships/hyperlink" Target="mailto:Ryan.Miller@henryschein.ca" TargetMode="External"/><Relationship Id="rId95" Type="http://schemas.openxmlformats.org/officeDocument/2006/relationships/hyperlink" Target="mailto:Kira.Jones@henryschein.ca" TargetMode="External"/><Relationship Id="rId160" Type="http://schemas.openxmlformats.org/officeDocument/2006/relationships/hyperlink" Target="mailto:Dean.Pollard@henryschein.ca" TargetMode="External"/><Relationship Id="rId216" Type="http://schemas.openxmlformats.org/officeDocument/2006/relationships/hyperlink" Target="mailto:Alexander.Salarda@henryschein.c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BusinessReporting.Canada@henryschein.ca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mailto:BusinessReporting.Canada@henryschein.ca" TargetMode="External"/><Relationship Id="rId1" Type="http://schemas.openxmlformats.org/officeDocument/2006/relationships/hyperlink" Target="mailto:BusinessReporting.Canada@henryschein.ca" TargetMode="External"/><Relationship Id="rId6" Type="http://schemas.openxmlformats.org/officeDocument/2006/relationships/hyperlink" Target="mailto:BusinessReporting.Canada@henryschein.ca" TargetMode="External"/><Relationship Id="rId5" Type="http://schemas.openxmlformats.org/officeDocument/2006/relationships/hyperlink" Target="mailto:BusinessReporting.Canada@henryschein.ca" TargetMode="External"/><Relationship Id="rId4" Type="http://schemas.openxmlformats.org/officeDocument/2006/relationships/hyperlink" Target="mailto:BusinessReporting.Canada@henryschein.ca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Jennifer.Li@Henryschein.ca" TargetMode="External"/><Relationship Id="rId2" Type="http://schemas.openxmlformats.org/officeDocument/2006/relationships/hyperlink" Target="mailto:Jennifer.Li@Henryschein.ca" TargetMode="External"/><Relationship Id="rId1" Type="http://schemas.openxmlformats.org/officeDocument/2006/relationships/hyperlink" Target="mailto:Jennifer.Li@Henryschein.ca" TargetMode="Externa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S603"/>
  <sheetViews>
    <sheetView topLeftCell="F1" zoomScaleNormal="100" workbookViewId="0">
      <pane ySplit="9" topLeftCell="A187" activePane="bottomLeft" state="frozen"/>
      <selection pane="bottomLeft" activeCell="A189" sqref="A189:XFD193"/>
    </sheetView>
  </sheetViews>
  <sheetFormatPr defaultRowHeight="14.4" outlineLevelCol="1" x14ac:dyDescent="0.3"/>
  <cols>
    <col min="1" max="1" width="5.88671875" customWidth="1"/>
    <col min="2" max="2" width="22.6640625" customWidth="1"/>
    <col min="3" max="3" width="27.33203125" customWidth="1"/>
    <col min="4" max="4" width="8" customWidth="1"/>
    <col min="5" max="5" width="8.33203125" customWidth="1"/>
    <col min="6" max="6" width="7.6640625" customWidth="1"/>
    <col min="7" max="7" width="6.109375" customWidth="1"/>
    <col min="8" max="8" width="6.109375" customWidth="1" outlineLevel="1"/>
    <col min="9" max="9" width="9.33203125" customWidth="1" outlineLevel="1"/>
    <col min="10" max="10" width="10" customWidth="1" outlineLevel="1"/>
    <col min="11" max="11" width="25.88671875" customWidth="1" outlineLevel="1"/>
    <col min="12" max="12" width="6.109375" customWidth="1"/>
    <col min="13" max="13" width="23.5546875" customWidth="1"/>
    <col min="14" max="14" width="28" customWidth="1"/>
    <col min="15" max="15" width="7.6640625" customWidth="1" outlineLevel="1"/>
    <col min="16" max="16" width="7.109375" customWidth="1" outlineLevel="1"/>
    <col min="17" max="17" width="6.5546875" customWidth="1" outlineLevel="1"/>
    <col min="18" max="18" width="8.88671875" customWidth="1" outlineLevel="1"/>
    <col min="19" max="19" width="4.88671875" customWidth="1" outlineLevel="1" collapsed="1"/>
    <col min="20" max="20" width="7" customWidth="1" outlineLevel="1"/>
    <col min="21" max="21" width="5.5546875" customWidth="1" outlineLevel="1" collapsed="1"/>
    <col min="22" max="22" width="5.88671875" customWidth="1" outlineLevel="1"/>
    <col min="23" max="23" width="6.5546875" customWidth="1" outlineLevel="1"/>
    <col min="24" max="24" width="8.33203125" customWidth="1"/>
    <col min="25" max="44" width="13.6640625" hidden="1" customWidth="1"/>
    <col min="45" max="45" width="7.33203125" style="10" customWidth="1"/>
  </cols>
  <sheetData>
    <row r="1" spans="1:45" x14ac:dyDescent="0.3">
      <c r="A1" t="s">
        <v>9</v>
      </c>
      <c r="C1" s="64" t="s">
        <v>3786</v>
      </c>
      <c r="O1" s="19" t="s">
        <v>582</v>
      </c>
    </row>
    <row r="2" spans="1:45" x14ac:dyDescent="0.3">
      <c r="A2" t="s">
        <v>2404</v>
      </c>
      <c r="B2" s="39">
        <v>42823</v>
      </c>
      <c r="O2" s="20">
        <v>1</v>
      </c>
      <c r="P2" s="21">
        <v>2</v>
      </c>
      <c r="Q2" s="21">
        <v>3</v>
      </c>
      <c r="R2" s="21">
        <v>4</v>
      </c>
      <c r="S2" s="21">
        <v>5</v>
      </c>
      <c r="T2" s="21">
        <v>6</v>
      </c>
      <c r="U2" s="21">
        <v>7</v>
      </c>
      <c r="V2" s="21">
        <v>8</v>
      </c>
      <c r="W2" s="21">
        <v>9</v>
      </c>
      <c r="X2" s="21">
        <v>10</v>
      </c>
      <c r="Y2" s="21">
        <v>11</v>
      </c>
      <c r="Z2" s="21">
        <v>12</v>
      </c>
      <c r="AA2" s="21">
        <v>13</v>
      </c>
      <c r="AB2" s="21">
        <v>14</v>
      </c>
      <c r="AC2" s="21">
        <v>15</v>
      </c>
      <c r="AD2" s="21">
        <v>16</v>
      </c>
      <c r="AE2" s="21">
        <v>17</v>
      </c>
      <c r="AF2" s="21">
        <v>18</v>
      </c>
      <c r="AG2" s="21">
        <v>19</v>
      </c>
      <c r="AH2" s="21">
        <v>20</v>
      </c>
      <c r="AI2" s="21">
        <v>21</v>
      </c>
      <c r="AJ2" s="21">
        <v>22</v>
      </c>
      <c r="AK2" s="21">
        <v>23</v>
      </c>
      <c r="AL2" s="21">
        <v>24</v>
      </c>
      <c r="AM2" s="21">
        <v>25</v>
      </c>
      <c r="AN2" s="21">
        <v>26</v>
      </c>
      <c r="AO2" s="21">
        <v>27</v>
      </c>
      <c r="AP2" s="21">
        <v>28</v>
      </c>
      <c r="AQ2" s="21">
        <v>29</v>
      </c>
      <c r="AR2" s="22">
        <v>30</v>
      </c>
    </row>
    <row r="3" spans="1:45" ht="3.75" customHeight="1" thickBot="1" x14ac:dyDescent="0.35">
      <c r="N3" s="15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</row>
    <row r="4" spans="1:45" ht="34.5" customHeight="1" x14ac:dyDescent="0.3">
      <c r="B4" s="26" t="s">
        <v>588</v>
      </c>
      <c r="C4" s="27">
        <v>9</v>
      </c>
      <c r="E4" s="12" t="str">
        <f>VLOOKUP(C4,Working!A23:B52,2,0)</f>
        <v>MNGR Top 15</v>
      </c>
      <c r="F4" s="47" t="str">
        <f>Working!A23&amp;" = "&amp;Working!B23&amp;", "&amp;Working!A24&amp;" = "&amp;Working!B24&amp;", "&amp;Working!A25&amp;" = "&amp;Working!B25&amp;", "&amp;Working!A26&amp;" = "&amp;Working!B26&amp;", "&amp;Working!A27&amp;" = "&amp;Working!B27&amp;", "&amp;Working!A28&amp;" = "&amp;Working!B28&amp;", "&amp;Working!A29&amp;" = "&amp;Working!B29&amp;", "&amp;Working!A30&amp;" = "&amp;Working!B30&amp;", "&amp;Working!A31&amp;" = "&amp;Working!B31</f>
        <v>1 = Weekly FSC, 2 = FSC Comm, 3 = EST Comm, 4 = CC Report to be set up, 5 = Not Used, 6 = FSC Sales Mgr, 7 = FSC Top 15, 8 = FSC GP, 9 = MNGR Top 15</v>
      </c>
      <c r="G4" s="47"/>
      <c r="H4" s="47"/>
      <c r="I4" s="47"/>
      <c r="J4" s="47"/>
      <c r="K4" s="47"/>
      <c r="L4" s="47"/>
      <c r="M4" s="47"/>
      <c r="N4" s="15"/>
      <c r="O4" t="s">
        <v>238</v>
      </c>
      <c r="P4" t="str">
        <f>Working!B8</f>
        <v>FSC Top 15 Summary for March 2017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</row>
    <row r="5" spans="1:45" x14ac:dyDescent="0.3">
      <c r="B5" s="28" t="s">
        <v>589</v>
      </c>
      <c r="C5" s="29">
        <v>42814</v>
      </c>
      <c r="N5" s="15"/>
      <c r="O5" t="s">
        <v>27</v>
      </c>
      <c r="P5" t="str">
        <f>Working!B9</f>
        <v>Jennifer.Li@Henryschein.ca</v>
      </c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</row>
    <row r="6" spans="1:45" ht="15" thickBot="1" x14ac:dyDescent="0.35">
      <c r="B6" s="30" t="s">
        <v>590</v>
      </c>
      <c r="C6" s="31">
        <v>42795</v>
      </c>
      <c r="F6" s="23" t="s">
        <v>613</v>
      </c>
      <c r="N6" s="15"/>
      <c r="O6" t="s">
        <v>16</v>
      </c>
      <c r="P6" t="str">
        <f>Working!B10</f>
        <v>config_ETU_MNG_Top_15.xml</v>
      </c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</row>
    <row r="7" spans="1:45" x14ac:dyDescent="0.3">
      <c r="B7" s="24" t="s">
        <v>2402</v>
      </c>
      <c r="C7" s="25">
        <f ca="1">COUNTA(OFFSET(N10,,C4):OFFSET(N429,,C4))</f>
        <v>64</v>
      </c>
      <c r="E7" t="s">
        <v>2401</v>
      </c>
      <c r="F7">
        <f>COUNTA(A10:A429)-1</f>
        <v>419</v>
      </c>
      <c r="N7" s="15"/>
      <c r="O7" t="s">
        <v>564</v>
      </c>
      <c r="P7" t="str">
        <f>Working!B15</f>
        <v>W</v>
      </c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</row>
    <row r="8" spans="1:45" ht="3.75" customHeight="1" x14ac:dyDescent="0.3">
      <c r="N8" s="15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</row>
    <row r="9" spans="1:45" ht="40.200000000000003" customHeight="1" x14ac:dyDescent="0.3">
      <c r="A9" s="63" t="s">
        <v>0</v>
      </c>
      <c r="B9" s="1" t="s">
        <v>1</v>
      </c>
      <c r="C9" s="63" t="s">
        <v>2</v>
      </c>
      <c r="D9" s="63" t="s">
        <v>2662</v>
      </c>
      <c r="E9" s="63" t="s">
        <v>3</v>
      </c>
      <c r="F9" s="63" t="s">
        <v>4</v>
      </c>
      <c r="G9" s="63" t="s">
        <v>5</v>
      </c>
      <c r="H9" s="1" t="s">
        <v>17</v>
      </c>
      <c r="I9" s="63" t="s">
        <v>18</v>
      </c>
      <c r="J9" s="63" t="s">
        <v>7</v>
      </c>
      <c r="K9" s="63" t="s">
        <v>6</v>
      </c>
      <c r="L9" s="1" t="s">
        <v>2406</v>
      </c>
      <c r="M9" s="1" t="s">
        <v>572</v>
      </c>
      <c r="N9" s="1" t="s">
        <v>573</v>
      </c>
      <c r="O9" s="63" t="str">
        <f>VLOOKUP(O2,Working!$A$23:$B$52,2,0)</f>
        <v>Weekly FSC</v>
      </c>
      <c r="P9" s="63" t="str">
        <f>VLOOKUP(P2,Working!$A$23:$B$52,2,0)</f>
        <v>FSC Comm</v>
      </c>
      <c r="Q9" s="63" t="str">
        <f>VLOOKUP(Q2,Working!$A$23:$B$52,2,0)</f>
        <v>EST Comm</v>
      </c>
      <c r="R9" s="63" t="str">
        <f>VLOOKUP(R2,Working!$A$23:$B$52,2,0)</f>
        <v>CC Report to be set up</v>
      </c>
      <c r="S9" s="63" t="str">
        <f>VLOOKUP(S2,Working!$A$23:$B$52,2,0)</f>
        <v>Not Used</v>
      </c>
      <c r="T9" s="63" t="str">
        <f>VLOOKUP(T2,Working!$A$23:$B$52,2,0)</f>
        <v>FSC Sales Mgr</v>
      </c>
      <c r="U9" s="63" t="str">
        <f>VLOOKUP(U2,Working!$A$23:$B$52,2,0)</f>
        <v>FSC Top 15</v>
      </c>
      <c r="V9" s="63" t="str">
        <f>VLOOKUP(V2,Working!$A$23:$B$52,2,0)</f>
        <v>FSC GP</v>
      </c>
      <c r="W9" s="63" t="str">
        <f>VLOOKUP(W2,Working!$A$23:$B$52,2,0)</f>
        <v>MNGR Top 15</v>
      </c>
      <c r="X9" s="1" t="str">
        <f>VLOOKUP(X2,Working!$A$23:$B$52,2,0)</f>
        <v>Not Used</v>
      </c>
      <c r="Y9" s="1" t="str">
        <f>VLOOKUP(Y2,Working!$A$23:$B$52,2,0)</f>
        <v>Not Used</v>
      </c>
      <c r="Z9" s="1" t="str">
        <f>VLOOKUP(Z2,Working!$A$23:$B$52,2,0)</f>
        <v>Not Used</v>
      </c>
      <c r="AA9" s="1" t="str">
        <f>VLOOKUP(AA2,Working!$A$23:$B$52,2,0)</f>
        <v>Not Used</v>
      </c>
      <c r="AB9" s="1" t="str">
        <f>VLOOKUP(AB2,Working!$A$23:$B$52,2,0)</f>
        <v>Not Used</v>
      </c>
      <c r="AC9" s="1" t="str">
        <f>VLOOKUP(AC2,Working!$A$23:$B$52,2,0)</f>
        <v>Not Used</v>
      </c>
      <c r="AD9" s="1" t="str">
        <f>VLOOKUP(AD2,Working!$A$23:$B$52,2,0)</f>
        <v>Not Used</v>
      </c>
      <c r="AE9" s="1" t="str">
        <f>VLOOKUP(AE2,Working!$A$23:$B$52,2,0)</f>
        <v>Not Used</v>
      </c>
      <c r="AF9" s="1" t="str">
        <f>VLOOKUP(AF2,Working!$A$23:$B$52,2,0)</f>
        <v>Not Used</v>
      </c>
      <c r="AG9" s="1" t="str">
        <f>VLOOKUP(AG2,Working!$A$23:$B$52,2,0)</f>
        <v>Not Used</v>
      </c>
      <c r="AH9" s="1" t="str">
        <f>VLOOKUP(AH2,Working!$A$23:$B$52,2,0)</f>
        <v>Not Used</v>
      </c>
      <c r="AI9" s="1" t="str">
        <f>VLOOKUP(AI2,Working!$A$23:$B$52,2,0)</f>
        <v>Not Used</v>
      </c>
      <c r="AJ9" s="1" t="str">
        <f>VLOOKUP(AJ2,Working!$A$23:$B$52,2,0)</f>
        <v>Not Used</v>
      </c>
      <c r="AK9" s="1" t="str">
        <f>VLOOKUP(AK2,Working!$A$23:$B$52,2,0)</f>
        <v>Not Used</v>
      </c>
      <c r="AL9" s="1" t="str">
        <f>VLOOKUP(AL2,Working!$A$23:$B$52,2,0)</f>
        <v>Not Used</v>
      </c>
      <c r="AM9" s="1" t="str">
        <f>VLOOKUP(AM2,Working!$A$23:$B$52,2,0)</f>
        <v>Not Used</v>
      </c>
      <c r="AN9" s="1" t="str">
        <f>VLOOKUP(AN2,Working!$A$23:$B$52,2,0)</f>
        <v>Not Used</v>
      </c>
      <c r="AO9" s="1" t="str">
        <f>VLOOKUP(AO2,Working!$A$23:$B$52,2,0)</f>
        <v>Not Used</v>
      </c>
      <c r="AP9" s="1" t="str">
        <f>VLOOKUP(AP2,Working!$A$23:$B$52,2,0)</f>
        <v>Not Used</v>
      </c>
      <c r="AQ9" s="1" t="str">
        <f>VLOOKUP(AQ2,Working!$A$23:$B$52,2,0)</f>
        <v>Not Used</v>
      </c>
      <c r="AR9" s="1" t="str">
        <f>VLOOKUP(AR2,Working!$A$23:$B$52,2,0)</f>
        <v>Not Used</v>
      </c>
    </row>
    <row r="10" spans="1:45" x14ac:dyDescent="0.3">
      <c r="A10">
        <v>32</v>
      </c>
      <c r="B10" s="37" t="str">
        <f>VLOOKUP(A10,'Monthly EE List'!A:D,4,0)&amp;" "&amp;VLOOKUP(A10,'Monthly EE List'!A:D,3,0)</f>
        <v>SUSAN TRASK</v>
      </c>
      <c r="C10" s="38" t="s">
        <v>341</v>
      </c>
      <c r="D10" s="4" t="s">
        <v>599</v>
      </c>
      <c r="E10" t="s">
        <v>2473</v>
      </c>
      <c r="F10" t="s">
        <v>223</v>
      </c>
      <c r="G10" s="4" t="s">
        <v>3008</v>
      </c>
      <c r="H10" s="4" t="str">
        <f>VLOOKUP(A10,'Monthly EE List'!A:G,7,0)</f>
        <v>A</v>
      </c>
      <c r="I10" s="10" t="s">
        <v>212</v>
      </c>
      <c r="J10" s="5">
        <v>42453</v>
      </c>
      <c r="K10" t="s">
        <v>571</v>
      </c>
      <c r="L10" s="4" t="str">
        <f t="shared" ref="L10:L71" ca="1" si="0">IF(OFFSET(N10,,$C$4)="X","X","")</f>
        <v/>
      </c>
      <c r="M10" s="6" t="str">
        <f>IF(VLOOKUP($C$4,Working!$A$23:$L$52,Working!$F$21,0)="Y",TEXT($C$6,"YYYYMM")&amp;"_"&amp;$E10&amp;"_"&amp;Working!$B$11&amp;Working!$B$12,"")</f>
        <v>201703_WZ224_Top15.xlsx</v>
      </c>
      <c r="N10" s="6" t="str">
        <f>IF(VLOOKUP($C$4,Working!$A$23:$L$52,Working!$I$21,0)="Y",TEXT($C$6,"YYYYMM")&amp;"_"&amp;$E10&amp;"_"&amp;Working!$B$13&amp;Working!$B$14,"")</f>
        <v/>
      </c>
      <c r="O10" s="4"/>
      <c r="P10" s="54"/>
      <c r="Q10" s="41"/>
      <c r="R10" s="41"/>
      <c r="S10" s="41"/>
      <c r="T10" s="41"/>
      <c r="U10" s="41"/>
      <c r="V10" s="54"/>
      <c r="AS10"/>
    </row>
    <row r="11" spans="1:45" x14ac:dyDescent="0.3">
      <c r="A11">
        <v>32</v>
      </c>
      <c r="B11" s="37" t="str">
        <f>VLOOKUP(A11,'Monthly EE List'!A:D,4,0)&amp;" "&amp;VLOOKUP(A11,'Monthly EE List'!A:D,3,0)</f>
        <v>SUSAN TRASK</v>
      </c>
      <c r="C11" s="38" t="s">
        <v>341</v>
      </c>
      <c r="D11" s="4" t="s">
        <v>599</v>
      </c>
      <c r="E11" t="s">
        <v>2474</v>
      </c>
      <c r="F11" t="s">
        <v>225</v>
      </c>
      <c r="G11" s="4" t="s">
        <v>3008</v>
      </c>
      <c r="H11" s="4" t="str">
        <f>VLOOKUP(A11,'Monthly EE List'!A:G,7,0)</f>
        <v>A</v>
      </c>
      <c r="I11" s="10" t="s">
        <v>212</v>
      </c>
      <c r="J11" s="5">
        <v>42453</v>
      </c>
      <c r="K11" t="s">
        <v>571</v>
      </c>
      <c r="L11" s="4" t="str">
        <f t="shared" ca="1" si="0"/>
        <v/>
      </c>
      <c r="M11" s="6" t="str">
        <f>IF(VLOOKUP($C$4,Working!$A$23:$L$52,Working!$F$21,0)="Y",TEXT($C$6,"YYYYMM")&amp;"_"&amp;$E11&amp;"_"&amp;Working!$B$11&amp;Working!$B$12,"")</f>
        <v>201703_WZ324_Top15.xlsx</v>
      </c>
      <c r="N11" s="6" t="str">
        <f>IF(VLOOKUP($C$4,Working!$A$23:$L$52,Working!$I$21,0)="Y",TEXT($C$6,"YYYYMM")&amp;"_"&amp;$E11&amp;"_"&amp;Working!$B$13&amp;Working!$B$14,"")</f>
        <v/>
      </c>
      <c r="O11" s="4"/>
      <c r="P11" s="54"/>
      <c r="Q11" s="41"/>
      <c r="R11" s="41"/>
      <c r="S11" s="41"/>
      <c r="T11" s="41"/>
      <c r="U11" s="41"/>
      <c r="V11" s="54"/>
      <c r="AS11"/>
    </row>
    <row r="12" spans="1:45" x14ac:dyDescent="0.3">
      <c r="A12">
        <v>32</v>
      </c>
      <c r="B12" s="37" t="str">
        <f>VLOOKUP(A12,'Monthly EE List'!A:D,4,0)&amp;" "&amp;VLOOKUP(A12,'Monthly EE List'!A:D,3,0)</f>
        <v>SUSAN TRASK</v>
      </c>
      <c r="C12" s="38" t="s">
        <v>341</v>
      </c>
      <c r="D12" s="4" t="s">
        <v>599</v>
      </c>
      <c r="E12" t="s">
        <v>35</v>
      </c>
      <c r="F12" t="s">
        <v>214</v>
      </c>
      <c r="G12" s="4" t="s">
        <v>3008</v>
      </c>
      <c r="H12" s="4" t="str">
        <f>VLOOKUP(A12,'Monthly EE List'!A:G,7,0)</f>
        <v>A</v>
      </c>
      <c r="I12" s="10" t="s">
        <v>212</v>
      </c>
      <c r="J12" s="5">
        <v>42453</v>
      </c>
      <c r="K12" t="s">
        <v>571</v>
      </c>
      <c r="L12" s="4" t="str">
        <f t="shared" ca="1" si="0"/>
        <v/>
      </c>
      <c r="M12" s="6" t="str">
        <f>IF(VLOOKUP($C$4,Working!$A$23:$L$52,Working!$F$21,0)="Y",TEXT($C$6,"YYYYMM")&amp;"_"&amp;$E12&amp;"_"&amp;Working!$B$11&amp;Working!$B$12,"")</f>
        <v>201703_WZ124_Top15.xlsx</v>
      </c>
      <c r="N12" s="6" t="str">
        <f>IF(VLOOKUP($C$4,Working!$A$23:$L$52,Working!$I$21,0)="Y",TEXT($C$6,"YYYYMM")&amp;"_"&amp;$E12&amp;"_"&amp;Working!$B$13&amp;Working!$B$14,"")</f>
        <v/>
      </c>
      <c r="O12" s="4"/>
      <c r="P12" s="54"/>
      <c r="Q12" s="41"/>
      <c r="R12" s="41"/>
      <c r="S12" s="41"/>
      <c r="T12" s="41"/>
      <c r="U12" s="41"/>
      <c r="V12" s="54"/>
      <c r="AS12"/>
    </row>
    <row r="13" spans="1:45" x14ac:dyDescent="0.3">
      <c r="A13">
        <v>333</v>
      </c>
      <c r="B13" s="37" t="str">
        <f>VLOOKUP(A13,'Monthly EE List'!A:D,4,0)&amp;" "&amp;VLOOKUP(A13,'Monthly EE List'!A:D,3,0)</f>
        <v>STEPHANE DEBERNARDI</v>
      </c>
      <c r="C13" s="38" t="s">
        <v>2643</v>
      </c>
      <c r="D13" s="4" t="s">
        <v>599</v>
      </c>
      <c r="E13" s="10" t="s">
        <v>2644</v>
      </c>
      <c r="F13" t="s">
        <v>215</v>
      </c>
      <c r="G13" s="4" t="s">
        <v>142</v>
      </c>
      <c r="H13" s="4" t="str">
        <f>VLOOKUP(A13,'Monthly EE List'!A:G,7,0)</f>
        <v>A</v>
      </c>
      <c r="I13" t="s">
        <v>211</v>
      </c>
      <c r="J13" s="5">
        <v>41114</v>
      </c>
      <c r="K13" t="s">
        <v>147</v>
      </c>
      <c r="L13" s="4" t="str">
        <f t="shared" ca="1" si="0"/>
        <v/>
      </c>
      <c r="M13" s="6" t="str">
        <f>IF(VLOOKUP($C$4,Working!$A$23:$L$52,Working!$F$21,0)="Y",TEXT($C$6,"YYYYMM")&amp;"_"&amp;$E13&amp;"_"&amp;Working!$B$11&amp;Working!$B$12,"")</f>
        <v>201703_CZ1SD_Top15.xlsx</v>
      </c>
      <c r="N13" s="6" t="str">
        <f>IF(VLOOKUP($C$4,Working!$A$23:$L$52,Working!$I$21,0)="Y",TEXT($C$6,"YYYYMM")&amp;"_"&amp;$E13&amp;"_"&amp;Working!$B$13&amp;Working!$B$14,"")</f>
        <v/>
      </c>
      <c r="O13" s="4" t="s">
        <v>228</v>
      </c>
      <c r="P13" s="4" t="s">
        <v>228</v>
      </c>
      <c r="Q13" s="41"/>
      <c r="R13" s="41"/>
      <c r="S13" s="41"/>
      <c r="T13" s="41"/>
      <c r="U13" s="41" t="s">
        <v>228</v>
      </c>
      <c r="V13" s="54"/>
      <c r="AS13"/>
    </row>
    <row r="14" spans="1:45" x14ac:dyDescent="0.3">
      <c r="A14">
        <v>402</v>
      </c>
      <c r="B14" s="37" t="str">
        <f>VLOOKUP(A14,'Monthly EE List'!A:D,4,0)&amp;" "&amp;VLOOKUP(A14,'Monthly EE List'!A:D,3,0)</f>
        <v>DIANE MCCHESNEY</v>
      </c>
      <c r="C14" s="38" t="s">
        <v>342</v>
      </c>
      <c r="D14" s="4" t="s">
        <v>599</v>
      </c>
      <c r="E14" t="s">
        <v>36</v>
      </c>
      <c r="F14" t="s">
        <v>215</v>
      </c>
      <c r="G14" s="4" t="s">
        <v>142</v>
      </c>
      <c r="H14" s="4" t="str">
        <f>VLOOKUP(A14,'Monthly EE List'!A:G,7,0)</f>
        <v>A</v>
      </c>
      <c r="J14" s="5"/>
      <c r="L14" s="4" t="str">
        <f t="shared" ca="1" si="0"/>
        <v/>
      </c>
      <c r="M14" s="6" t="str">
        <f>IF(VLOOKUP($C$4,Working!$A$23:$L$52,Working!$F$21,0)="Y",TEXT($C$6,"YYYYMM")&amp;"_"&amp;$E14&amp;"_"&amp;Working!$B$11&amp;Working!$B$12,"")</f>
        <v>201703_CZ125_Top15.xlsx</v>
      </c>
      <c r="N14" s="6" t="str">
        <f>IF(VLOOKUP($C$4,Working!$A$23:$L$52,Working!$I$21,0)="Y",TEXT($C$6,"YYYYMM")&amp;"_"&amp;$E14&amp;"_"&amp;Working!$B$13&amp;Working!$B$14,"")</f>
        <v/>
      </c>
      <c r="O14" s="4" t="s">
        <v>228</v>
      </c>
      <c r="P14" s="4" t="s">
        <v>228</v>
      </c>
      <c r="Q14" s="41"/>
      <c r="R14" s="41"/>
      <c r="S14" s="41"/>
      <c r="T14" s="41"/>
      <c r="U14" s="41" t="s">
        <v>228</v>
      </c>
      <c r="V14" s="54"/>
      <c r="AS14"/>
    </row>
    <row r="15" spans="1:45" x14ac:dyDescent="0.3">
      <c r="A15">
        <v>410</v>
      </c>
      <c r="B15" s="37" t="str">
        <f>VLOOKUP(A15,'Monthly EE List'!A:D,4,0)&amp;" "&amp;VLOOKUP(A15,'Monthly EE List'!A:D,3,0)</f>
        <v>CORINNE SMITH</v>
      </c>
      <c r="C15" s="38" t="s">
        <v>343</v>
      </c>
      <c r="D15" s="4" t="s">
        <v>599</v>
      </c>
      <c r="E15" t="s">
        <v>37</v>
      </c>
      <c r="F15" t="s">
        <v>215</v>
      </c>
      <c r="G15" s="4" t="s">
        <v>142</v>
      </c>
      <c r="H15" s="4" t="str">
        <f>VLOOKUP(A15,'Monthly EE List'!A:G,7,0)</f>
        <v>A</v>
      </c>
      <c r="J15" s="5"/>
      <c r="L15" s="4" t="str">
        <f t="shared" ca="1" si="0"/>
        <v/>
      </c>
      <c r="M15" s="6" t="str">
        <f>IF(VLOOKUP($C$4,Working!$A$23:$L$52,Working!$F$21,0)="Y",TEXT($C$6,"YYYYMM")&amp;"_"&amp;$E15&amp;"_"&amp;Working!$B$11&amp;Working!$B$12,"")</f>
        <v>201703_CZ124_Top15.xlsx</v>
      </c>
      <c r="N15" s="6" t="str">
        <f>IF(VLOOKUP($C$4,Working!$A$23:$L$52,Working!$I$21,0)="Y",TEXT($C$6,"YYYYMM")&amp;"_"&amp;$E15&amp;"_"&amp;Working!$B$13&amp;Working!$B$14,"")</f>
        <v/>
      </c>
      <c r="O15" s="4" t="s">
        <v>228</v>
      </c>
      <c r="P15" s="4" t="s">
        <v>228</v>
      </c>
      <c r="Q15" s="41"/>
      <c r="R15" s="41"/>
      <c r="S15" s="41"/>
      <c r="T15" s="41"/>
      <c r="U15" s="41" t="s">
        <v>228</v>
      </c>
      <c r="V15" s="54"/>
      <c r="AS15"/>
    </row>
    <row r="16" spans="1:45" x14ac:dyDescent="0.3">
      <c r="A16">
        <v>423</v>
      </c>
      <c r="B16" s="37" t="str">
        <f>VLOOKUP(A16,'Monthly EE List'!A:D,4,0)&amp;" "&amp;VLOOKUP(A16,'Monthly EE List'!A:D,3,0)</f>
        <v>SALLY HOLLAND</v>
      </c>
      <c r="C16" s="38" t="s">
        <v>346</v>
      </c>
      <c r="D16" s="4" t="s">
        <v>599</v>
      </c>
      <c r="E16" t="s">
        <v>40</v>
      </c>
      <c r="F16" t="s">
        <v>217</v>
      </c>
      <c r="G16" s="4" t="s">
        <v>142</v>
      </c>
      <c r="H16" s="4" t="str">
        <f>VLOOKUP(A16,'Monthly EE List'!A:G,7,0)</f>
        <v>A</v>
      </c>
      <c r="J16" s="5"/>
      <c r="L16" s="4" t="str">
        <f t="shared" ca="1" si="0"/>
        <v/>
      </c>
      <c r="M16" s="6" t="str">
        <f>IF(VLOOKUP($C$4,Working!$A$23:$L$52,Working!$F$21,0)="Y",TEXT($C$6,"YYYYMM")&amp;"_"&amp;$E16&amp;"_"&amp;Working!$B$11&amp;Working!$B$12,"")</f>
        <v>201703_QZ132_Top15.xlsx</v>
      </c>
      <c r="N16" s="6" t="str">
        <f>IF(VLOOKUP($C$4,Working!$A$23:$L$52,Working!$I$21,0)="Y",TEXT($C$6,"YYYYMM")&amp;"_"&amp;$E16&amp;"_"&amp;Working!$B$13&amp;Working!$B$14,"")</f>
        <v/>
      </c>
      <c r="O16" s="4" t="s">
        <v>228</v>
      </c>
      <c r="P16" s="4" t="s">
        <v>228</v>
      </c>
      <c r="Q16" s="41"/>
      <c r="R16" s="41"/>
      <c r="S16" s="41"/>
      <c r="T16" s="41"/>
      <c r="U16" s="41" t="s">
        <v>228</v>
      </c>
      <c r="V16" s="4" t="s">
        <v>228</v>
      </c>
      <c r="AS16"/>
    </row>
    <row r="17" spans="1:45" x14ac:dyDescent="0.3">
      <c r="A17">
        <v>425</v>
      </c>
      <c r="B17" s="37" t="str">
        <f>VLOOKUP(A17,'Monthly EE List'!A:D,4,0)&amp;" "&amp;VLOOKUP(A17,'Monthly EE List'!A:D,3,0)</f>
        <v>DONNA RILEY</v>
      </c>
      <c r="C17" s="38" t="s">
        <v>347</v>
      </c>
      <c r="D17" s="4" t="s">
        <v>599</v>
      </c>
      <c r="E17" t="s">
        <v>41</v>
      </c>
      <c r="F17" t="s">
        <v>215</v>
      </c>
      <c r="G17" s="4" t="s">
        <v>142</v>
      </c>
      <c r="H17" s="4" t="str">
        <f>VLOOKUP(A17,'Monthly EE List'!A:G,7,0)</f>
        <v>A</v>
      </c>
      <c r="J17" s="5"/>
      <c r="L17" s="4" t="str">
        <f t="shared" ca="1" si="0"/>
        <v/>
      </c>
      <c r="M17" s="6" t="str">
        <f>IF(VLOOKUP($C$4,Working!$A$23:$L$52,Working!$F$21,0)="Y",TEXT($C$6,"YYYYMM")&amp;"_"&amp;$E17&amp;"_"&amp;Working!$B$11&amp;Working!$B$12,"")</f>
        <v>201703_CZ128_Top15.xlsx</v>
      </c>
      <c r="N17" s="6" t="str">
        <f>IF(VLOOKUP($C$4,Working!$A$23:$L$52,Working!$I$21,0)="Y",TEXT($C$6,"YYYYMM")&amp;"_"&amp;$E17&amp;"_"&amp;Working!$B$13&amp;Working!$B$14,"")</f>
        <v/>
      </c>
      <c r="O17" s="4" t="s">
        <v>228</v>
      </c>
      <c r="P17" s="4" t="s">
        <v>228</v>
      </c>
      <c r="Q17" s="41"/>
      <c r="R17" s="41"/>
      <c r="S17" s="41"/>
      <c r="T17" s="41"/>
      <c r="U17" s="41" t="s">
        <v>228</v>
      </c>
      <c r="V17" s="54"/>
      <c r="AS17"/>
    </row>
    <row r="18" spans="1:45" x14ac:dyDescent="0.3">
      <c r="A18">
        <v>433</v>
      </c>
      <c r="B18" s="37" t="str">
        <f>VLOOKUP(A18,'Monthly EE List'!A:D,4,0)&amp;" "&amp;VLOOKUP(A18,'Monthly EE List'!A:D,3,0)</f>
        <v>HEIDI TERBENCHE</v>
      </c>
      <c r="C18" s="38" t="s">
        <v>349</v>
      </c>
      <c r="D18" s="4" t="s">
        <v>599</v>
      </c>
      <c r="E18" t="s">
        <v>43</v>
      </c>
      <c r="F18" t="s">
        <v>215</v>
      </c>
      <c r="G18" s="4" t="s">
        <v>142</v>
      </c>
      <c r="H18" s="4" t="str">
        <f>VLOOKUP(A18,'Monthly EE List'!A:G,7,0)</f>
        <v>A</v>
      </c>
      <c r="J18" s="5"/>
      <c r="L18" s="4" t="str">
        <f t="shared" ca="1" si="0"/>
        <v/>
      </c>
      <c r="M18" s="6" t="str">
        <f>IF(VLOOKUP($C$4,Working!$A$23:$L$52,Working!$F$21,0)="Y",TEXT($C$6,"YYYYMM")&amp;"_"&amp;$E18&amp;"_"&amp;Working!$B$11&amp;Working!$B$12,"")</f>
        <v>201703_CZ144_Top15.xlsx</v>
      </c>
      <c r="N18" s="6" t="str">
        <f>IF(VLOOKUP($C$4,Working!$A$23:$L$52,Working!$I$21,0)="Y",TEXT($C$6,"YYYYMM")&amp;"_"&amp;$E18&amp;"_"&amp;Working!$B$13&amp;Working!$B$14,"")</f>
        <v/>
      </c>
      <c r="O18" s="4" t="s">
        <v>228</v>
      </c>
      <c r="P18" s="4" t="s">
        <v>228</v>
      </c>
      <c r="Q18" s="41"/>
      <c r="R18" s="41"/>
      <c r="S18" s="41"/>
      <c r="T18" s="41"/>
      <c r="U18" s="41" t="s">
        <v>228</v>
      </c>
      <c r="V18" s="54"/>
      <c r="AS18"/>
    </row>
    <row r="19" spans="1:45" x14ac:dyDescent="0.3">
      <c r="A19">
        <v>443</v>
      </c>
      <c r="B19" s="37" t="str">
        <f>VLOOKUP(A19,'Monthly EE List'!A:D,4,0)&amp;" "&amp;VLOOKUP(A19,'Monthly EE List'!A:D,3,0)</f>
        <v>THOMAS JUKNA</v>
      </c>
      <c r="C19" s="38" t="s">
        <v>501</v>
      </c>
      <c r="D19" s="4" t="s">
        <v>599</v>
      </c>
      <c r="E19" t="s">
        <v>45</v>
      </c>
      <c r="F19" t="s">
        <v>218</v>
      </c>
      <c r="G19" s="4" t="s">
        <v>142</v>
      </c>
      <c r="H19" s="4" t="str">
        <f>VLOOKUP(A19,'Monthly EE List'!A:G,7,0)</f>
        <v>A</v>
      </c>
      <c r="J19" s="5"/>
      <c r="L19" s="4" t="str">
        <f t="shared" ca="1" si="0"/>
        <v/>
      </c>
      <c r="M19" s="6" t="str">
        <f>IF(VLOOKUP($C$4,Working!$A$23:$L$52,Working!$F$21,0)="Y",TEXT($C$6,"YYYYMM")&amp;"_"&amp;$E19&amp;"_"&amp;Working!$B$11&amp;Working!$B$12,"")</f>
        <v>201703_CZ165_Top15.xlsx</v>
      </c>
      <c r="N19" s="6" t="str">
        <f>IF(VLOOKUP($C$4,Working!$A$23:$L$52,Working!$I$21,0)="Y",TEXT($C$6,"YYYYMM")&amp;"_"&amp;$E19&amp;"_"&amp;Working!$B$13&amp;Working!$B$14,"")</f>
        <v/>
      </c>
      <c r="O19" s="4" t="s">
        <v>228</v>
      </c>
      <c r="P19" s="4" t="s">
        <v>228</v>
      </c>
      <c r="Q19" s="41"/>
      <c r="R19" s="41"/>
      <c r="S19" s="41"/>
      <c r="T19" s="41"/>
      <c r="U19" s="41" t="s">
        <v>228</v>
      </c>
      <c r="V19" s="54"/>
      <c r="AS19"/>
    </row>
    <row r="20" spans="1:45" x14ac:dyDescent="0.3">
      <c r="A20">
        <v>449</v>
      </c>
      <c r="B20" s="37" t="str">
        <f>VLOOKUP(A20,'Monthly EE List'!A:D,4,0)&amp;" "&amp;VLOOKUP(A20,'Monthly EE List'!A:D,3,0)</f>
        <v>DANIELLE MONETTE</v>
      </c>
      <c r="C20" s="38" t="s">
        <v>3112</v>
      </c>
      <c r="D20" s="4" t="s">
        <v>599</v>
      </c>
      <c r="E20" t="s">
        <v>46</v>
      </c>
      <c r="F20" t="s">
        <v>217</v>
      </c>
      <c r="G20" s="4" t="s">
        <v>142</v>
      </c>
      <c r="H20" s="4" t="str">
        <f>VLOOKUP(A20,'Monthly EE List'!A:G,7,0)</f>
        <v>LOA</v>
      </c>
      <c r="I20" t="s">
        <v>212</v>
      </c>
      <c r="J20" s="5">
        <v>42614</v>
      </c>
      <c r="K20" t="s">
        <v>3815</v>
      </c>
      <c r="L20" s="4" t="str">
        <f t="shared" ca="1" si="0"/>
        <v/>
      </c>
      <c r="M20" s="6" t="str">
        <f>IF(VLOOKUP($C$4,Working!$A$23:$L$52,Working!$F$21,0)="Y",TEXT($C$6,"YYYYMM")&amp;"_"&amp;$E20&amp;"_"&amp;Working!$B$11&amp;Working!$B$12,"")</f>
        <v>201703_QZ177_Top15.xlsx</v>
      </c>
      <c r="N20" s="6" t="str">
        <f>IF(VLOOKUP($C$4,Working!$A$23:$L$52,Working!$I$21,0)="Y",TEXT($C$6,"YYYYMM")&amp;"_"&amp;$E20&amp;"_"&amp;Working!$B$13&amp;Working!$B$14,"")</f>
        <v/>
      </c>
      <c r="O20" s="4" t="s">
        <v>228</v>
      </c>
      <c r="P20" s="4" t="s">
        <v>228</v>
      </c>
      <c r="Q20" s="41"/>
      <c r="R20" s="41"/>
      <c r="S20" s="41"/>
      <c r="T20" s="41"/>
      <c r="U20" s="41" t="s">
        <v>228</v>
      </c>
      <c r="V20" s="4" t="s">
        <v>228</v>
      </c>
      <c r="AS20"/>
    </row>
    <row r="21" spans="1:45" x14ac:dyDescent="0.3">
      <c r="A21">
        <v>450</v>
      </c>
      <c r="B21" s="37" t="str">
        <f>VLOOKUP(A21,'Monthly EE List'!A:D,4,0)&amp;" "&amp;VLOOKUP(A21,'Monthly EE List'!A:D,3,0)</f>
        <v>PIERRE DUCHESNEAU</v>
      </c>
      <c r="C21" s="38" t="s">
        <v>351</v>
      </c>
      <c r="D21" s="4" t="s">
        <v>599</v>
      </c>
      <c r="E21" t="s">
        <v>47</v>
      </c>
      <c r="F21" t="s">
        <v>219</v>
      </c>
      <c r="G21" s="4" t="s">
        <v>142</v>
      </c>
      <c r="H21" s="4" t="str">
        <f>VLOOKUP(A21,'Monthly EE List'!A:G,7,0)</f>
        <v>A</v>
      </c>
      <c r="J21" s="5"/>
      <c r="L21" s="4" t="str">
        <f t="shared" ca="1" si="0"/>
        <v/>
      </c>
      <c r="M21" s="6" t="str">
        <f>IF(VLOOKUP($C$4,Working!$A$23:$L$52,Working!$F$21,0)="Y",TEXT($C$6,"YYYYMM")&amp;"_"&amp;$E21&amp;"_"&amp;Working!$B$11&amp;Working!$B$12,"")</f>
        <v>201703_QZ178_Top15.xlsx</v>
      </c>
      <c r="N21" s="6" t="str">
        <f>IF(VLOOKUP($C$4,Working!$A$23:$L$52,Working!$I$21,0)="Y",TEXT($C$6,"YYYYMM")&amp;"_"&amp;$E21&amp;"_"&amp;Working!$B$13&amp;Working!$B$14,"")</f>
        <v/>
      </c>
      <c r="O21" s="4" t="s">
        <v>228</v>
      </c>
      <c r="P21" s="4" t="s">
        <v>228</v>
      </c>
      <c r="Q21" s="41"/>
      <c r="R21" s="41"/>
      <c r="S21" s="41"/>
      <c r="T21" s="41"/>
      <c r="U21" s="41" t="s">
        <v>228</v>
      </c>
      <c r="V21" s="4" t="s">
        <v>228</v>
      </c>
      <c r="AS21"/>
    </row>
    <row r="22" spans="1:45" x14ac:dyDescent="0.3">
      <c r="A22">
        <v>453</v>
      </c>
      <c r="B22" s="37" t="str">
        <f>VLOOKUP(A22,'Monthly EE List'!A:D,4,0)&amp;" "&amp;VLOOKUP(A22,'Monthly EE List'!A:D,3,0)</f>
        <v>LINDA TAYLOR</v>
      </c>
      <c r="C22" s="38" t="s">
        <v>352</v>
      </c>
      <c r="D22" s="4" t="s">
        <v>599</v>
      </c>
      <c r="E22" t="s">
        <v>48</v>
      </c>
      <c r="F22" t="s">
        <v>215</v>
      </c>
      <c r="G22" s="4" t="s">
        <v>142</v>
      </c>
      <c r="H22" s="4" t="str">
        <f>VLOOKUP(A22,'Monthly EE List'!A:G,7,0)</f>
        <v>A</v>
      </c>
      <c r="J22" s="5"/>
      <c r="L22" s="4" t="str">
        <f t="shared" ca="1" si="0"/>
        <v/>
      </c>
      <c r="M22" s="6" t="str">
        <f>IF(VLOOKUP($C$4,Working!$A$23:$L$52,Working!$F$21,0)="Y",TEXT($C$6,"YYYYMM")&amp;"_"&amp;$E22&amp;"_"&amp;Working!$B$11&amp;Working!$B$12,"")</f>
        <v>201703_CZ183_Top15.xlsx</v>
      </c>
      <c r="N22" s="6" t="str">
        <f>IF(VLOOKUP($C$4,Working!$A$23:$L$52,Working!$I$21,0)="Y",TEXT($C$6,"YYYYMM")&amp;"_"&amp;$E22&amp;"_"&amp;Working!$B$13&amp;Working!$B$14,"")</f>
        <v/>
      </c>
      <c r="O22" s="4" t="s">
        <v>228</v>
      </c>
      <c r="P22" s="4" t="s">
        <v>228</v>
      </c>
      <c r="Q22" s="41"/>
      <c r="R22" s="41"/>
      <c r="S22" s="41"/>
      <c r="T22" s="41"/>
      <c r="U22" s="41" t="s">
        <v>228</v>
      </c>
      <c r="V22" s="54"/>
      <c r="AS22"/>
    </row>
    <row r="23" spans="1:45" x14ac:dyDescent="0.3">
      <c r="A23">
        <v>462</v>
      </c>
      <c r="B23" s="37" t="str">
        <f>VLOOKUP(A23,'Monthly EE List'!A:D,4,0)&amp;" "&amp;VLOOKUP(A23,'Monthly EE List'!A:D,3,0)</f>
        <v>STEVEN SALE</v>
      </c>
      <c r="C23" s="38" t="s">
        <v>353</v>
      </c>
      <c r="D23" s="4" t="s">
        <v>599</v>
      </c>
      <c r="E23" t="s">
        <v>49</v>
      </c>
      <c r="F23" t="s">
        <v>215</v>
      </c>
      <c r="G23" s="4" t="s">
        <v>142</v>
      </c>
      <c r="H23" s="4" t="str">
        <f>VLOOKUP(A23,'Monthly EE List'!A:G,7,0)</f>
        <v>A</v>
      </c>
      <c r="J23" s="5"/>
      <c r="L23" s="4" t="str">
        <f t="shared" ca="1" si="0"/>
        <v/>
      </c>
      <c r="M23" s="6" t="str">
        <f>IF(VLOOKUP($C$4,Working!$A$23:$L$52,Working!$F$21,0)="Y",TEXT($C$6,"YYYYMM")&amp;"_"&amp;$E23&amp;"_"&amp;Working!$B$11&amp;Working!$B$12,"")</f>
        <v>201703_CZ107_Top15.xlsx</v>
      </c>
      <c r="N23" s="6" t="str">
        <f>IF(VLOOKUP($C$4,Working!$A$23:$L$52,Working!$I$21,0)="Y",TEXT($C$6,"YYYYMM")&amp;"_"&amp;$E23&amp;"_"&amp;Working!$B$13&amp;Working!$B$14,"")</f>
        <v/>
      </c>
      <c r="O23" s="4" t="s">
        <v>228</v>
      </c>
      <c r="P23" s="4" t="s">
        <v>228</v>
      </c>
      <c r="Q23" s="41"/>
      <c r="R23" s="41"/>
      <c r="S23" s="41"/>
      <c r="T23" s="41"/>
      <c r="U23" s="41" t="s">
        <v>228</v>
      </c>
      <c r="V23" s="54"/>
      <c r="AS23"/>
    </row>
    <row r="24" spans="1:45" x14ac:dyDescent="0.3">
      <c r="A24">
        <v>465</v>
      </c>
      <c r="B24" s="37" t="str">
        <f>VLOOKUP(A24,'Monthly EE List'!A:D,4,0)&amp;" "&amp;VLOOKUP(A24,'Monthly EE List'!A:D,3,0)</f>
        <v>ROBERT LITTNER</v>
      </c>
      <c r="C24" s="38" t="s">
        <v>507</v>
      </c>
      <c r="D24" s="4" t="s">
        <v>599</v>
      </c>
      <c r="E24" t="s">
        <v>51</v>
      </c>
      <c r="F24" t="s">
        <v>217</v>
      </c>
      <c r="G24" s="4" t="s">
        <v>3027</v>
      </c>
      <c r="H24" s="4" t="str">
        <f>VLOOKUP(A24,'Monthly EE List'!A:G,7,0)</f>
        <v>A</v>
      </c>
      <c r="J24" s="5"/>
      <c r="L24" s="4" t="str">
        <f t="shared" ca="1" si="0"/>
        <v/>
      </c>
      <c r="M24" s="6" t="str">
        <f>IF(VLOOKUP($C$4,Working!$A$23:$L$52,Working!$F$21,0)="Y",TEXT($C$6,"YYYYMM")&amp;"_"&amp;$E24&amp;"_"&amp;Working!$B$11&amp;Working!$B$12,"")</f>
        <v>201703_QZ192_Top15.xlsx</v>
      </c>
      <c r="N24" s="6" t="str">
        <f>IF(VLOOKUP($C$4,Working!$A$23:$L$52,Working!$I$21,0)="Y",TEXT($C$6,"YYYYMM")&amp;"_"&amp;$E24&amp;"_"&amp;Working!$B$13&amp;Working!$B$14,"")</f>
        <v/>
      </c>
      <c r="O24" s="54"/>
      <c r="P24" s="4" t="s">
        <v>228</v>
      </c>
      <c r="Q24" s="41"/>
      <c r="R24" s="41"/>
      <c r="S24" s="41"/>
      <c r="T24" s="41"/>
      <c r="U24" s="41"/>
      <c r="V24" s="4"/>
      <c r="AS24"/>
    </row>
    <row r="25" spans="1:45" x14ac:dyDescent="0.3">
      <c r="A25">
        <v>469</v>
      </c>
      <c r="B25" s="37" t="str">
        <f>VLOOKUP(A25,'Monthly EE List'!A:D,4,0)&amp;" "&amp;VLOOKUP(A25,'Monthly EE List'!A:D,3,0)</f>
        <v>ROBERT MUNDEN</v>
      </c>
      <c r="C25" s="38" t="s">
        <v>355</v>
      </c>
      <c r="D25" s="4" t="s">
        <v>599</v>
      </c>
      <c r="E25" t="s">
        <v>52</v>
      </c>
      <c r="F25" t="s">
        <v>218</v>
      </c>
      <c r="G25" s="4" t="s">
        <v>142</v>
      </c>
      <c r="H25" s="4" t="str">
        <f>VLOOKUP(A25,'Monthly EE List'!A:G,7,0)</f>
        <v>A</v>
      </c>
      <c r="J25" s="5"/>
      <c r="L25" s="4" t="str">
        <f t="shared" ca="1" si="0"/>
        <v/>
      </c>
      <c r="M25" s="6" t="str">
        <f>IF(VLOOKUP($C$4,Working!$A$23:$L$52,Working!$F$21,0)="Y",TEXT($C$6,"YYYYMM")&amp;"_"&amp;$E25&amp;"_"&amp;Working!$B$11&amp;Working!$B$12,"")</f>
        <v>201703_CZ109_Top15.xlsx</v>
      </c>
      <c r="N25" s="6" t="str">
        <f>IF(VLOOKUP($C$4,Working!$A$23:$L$52,Working!$I$21,0)="Y",TEXT($C$6,"YYYYMM")&amp;"_"&amp;$E25&amp;"_"&amp;Working!$B$13&amp;Working!$B$14,"")</f>
        <v/>
      </c>
      <c r="O25" s="4" t="s">
        <v>228</v>
      </c>
      <c r="P25" s="4" t="s">
        <v>228</v>
      </c>
      <c r="Q25" s="41"/>
      <c r="R25" s="41"/>
      <c r="S25" s="41"/>
      <c r="T25" s="41"/>
      <c r="U25" s="41" t="s">
        <v>228</v>
      </c>
      <c r="V25" s="54"/>
      <c r="AS25"/>
    </row>
    <row r="26" spans="1:45" x14ac:dyDescent="0.3">
      <c r="A26">
        <v>470</v>
      </c>
      <c r="B26" s="37" t="str">
        <f>VLOOKUP(A26,'Monthly EE List'!A:D,4,0)&amp;" "&amp;VLOOKUP(A26,'Monthly EE List'!A:D,3,0)</f>
        <v>KYLE WHITE</v>
      </c>
      <c r="C26" s="38" t="s">
        <v>356</v>
      </c>
      <c r="D26" s="4" t="s">
        <v>599</v>
      </c>
      <c r="E26" t="s">
        <v>53</v>
      </c>
      <c r="F26" t="s">
        <v>220</v>
      </c>
      <c r="G26" s="4" t="s">
        <v>142</v>
      </c>
      <c r="H26" s="4" t="str">
        <f>VLOOKUP(A26,'Monthly EE List'!A:G,7,0)</f>
        <v>A</v>
      </c>
      <c r="J26" s="5"/>
      <c r="L26" s="4" t="str">
        <f t="shared" ca="1" si="0"/>
        <v/>
      </c>
      <c r="M26" s="6" t="str">
        <f>IF(VLOOKUP($C$4,Working!$A$23:$L$52,Working!$F$21,0)="Y",TEXT($C$6,"YYYYMM")&amp;"_"&amp;$E26&amp;"_"&amp;Working!$B$11&amp;Working!$B$12,"")</f>
        <v>201703_AZ112_Top15.xlsx</v>
      </c>
      <c r="N26" s="6" t="str">
        <f>IF(VLOOKUP($C$4,Working!$A$23:$L$52,Working!$I$21,0)="Y",TEXT($C$6,"YYYYMM")&amp;"_"&amp;$E26&amp;"_"&amp;Working!$B$13&amp;Working!$B$14,"")</f>
        <v/>
      </c>
      <c r="O26" s="4" t="s">
        <v>228</v>
      </c>
      <c r="P26" s="4" t="s">
        <v>228</v>
      </c>
      <c r="Q26" s="41"/>
      <c r="R26" s="41"/>
      <c r="S26" s="41"/>
      <c r="T26" s="41"/>
      <c r="U26" s="41" t="s">
        <v>228</v>
      </c>
      <c r="V26" s="54"/>
      <c r="AS26"/>
    </row>
    <row r="27" spans="1:45" x14ac:dyDescent="0.3">
      <c r="A27" s="10">
        <v>476</v>
      </c>
      <c r="B27" s="37" t="str">
        <f>VLOOKUP(A27,'Monthly EE List'!A:D,4,0)&amp;" "&amp;VLOOKUP(A27,'Monthly EE List'!A:D,3,0)</f>
        <v>CINDY PETRIE</v>
      </c>
      <c r="C27" s="38" t="s">
        <v>2370</v>
      </c>
      <c r="D27" s="4" t="s">
        <v>599</v>
      </c>
      <c r="E27" t="s">
        <v>2608</v>
      </c>
      <c r="F27" t="s">
        <v>218</v>
      </c>
      <c r="G27" s="4" t="s">
        <v>142</v>
      </c>
      <c r="H27" s="4" t="str">
        <f>VLOOKUP(A27,'Monthly EE List'!A:G,7,0)</f>
        <v>A</v>
      </c>
      <c r="I27" s="10" t="s">
        <v>212</v>
      </c>
      <c r="J27" s="5">
        <v>41439</v>
      </c>
      <c r="K27" t="s">
        <v>2475</v>
      </c>
      <c r="L27" s="4" t="str">
        <f t="shared" ca="1" si="0"/>
        <v/>
      </c>
      <c r="M27" s="6" t="str">
        <f>IF(VLOOKUP($C$4,Working!$A$23:$L$52,Working!$F$21,0)="Y",TEXT($C$6,"YYYYMM")&amp;"_"&amp;$E27&amp;"_"&amp;Working!$B$11&amp;Working!$B$12,"")</f>
        <v>201703_CZ1CP_Top15.xlsx</v>
      </c>
      <c r="N27" s="6" t="str">
        <f>IF(VLOOKUP($C$4,Working!$A$23:$L$52,Working!$I$21,0)="Y",TEXT($C$6,"YYYYMM")&amp;"_"&amp;$E27&amp;"_"&amp;Working!$B$13&amp;Working!$B$14,"")</f>
        <v/>
      </c>
      <c r="O27" s="4" t="s">
        <v>228</v>
      </c>
      <c r="P27" s="40" t="s">
        <v>228</v>
      </c>
      <c r="Q27" s="42"/>
      <c r="R27" s="42"/>
      <c r="S27" s="41"/>
      <c r="T27" s="42"/>
      <c r="U27" s="41" t="s">
        <v>228</v>
      </c>
      <c r="V27" s="54"/>
      <c r="W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/>
    </row>
    <row r="28" spans="1:45" x14ac:dyDescent="0.3">
      <c r="A28">
        <v>479</v>
      </c>
      <c r="B28" s="37" t="str">
        <f>VLOOKUP(A28,'Monthly EE List'!A:D,4,0)&amp;" "&amp;VLOOKUP(A28,'Monthly EE List'!A:D,3,0)</f>
        <v>BEVERLY ROBERTSON</v>
      </c>
      <c r="C28" s="38" t="s">
        <v>357</v>
      </c>
      <c r="D28" s="4" t="s">
        <v>599</v>
      </c>
      <c r="E28" t="s">
        <v>54</v>
      </c>
      <c r="F28" t="s">
        <v>221</v>
      </c>
      <c r="G28" s="4" t="s">
        <v>142</v>
      </c>
      <c r="H28" s="4" t="str">
        <f>VLOOKUP(A28,'Monthly EE List'!A:G,7,0)</f>
        <v>A</v>
      </c>
      <c r="I28" t="s">
        <v>212</v>
      </c>
      <c r="J28" s="5">
        <v>40983</v>
      </c>
      <c r="K28" t="s">
        <v>2475</v>
      </c>
      <c r="L28" s="4" t="str">
        <f t="shared" ca="1" si="0"/>
        <v/>
      </c>
      <c r="M28" s="6" t="str">
        <f>IF(VLOOKUP($C$4,Working!$A$23:$L$52,Working!$F$21,0)="Y",TEXT($C$6,"YYYYMM")&amp;"_"&amp;$E28&amp;"_"&amp;Working!$B$11&amp;Working!$B$12,"")</f>
        <v>201703_CZ154_Top15.xlsx</v>
      </c>
      <c r="N28" s="6" t="str">
        <f>IF(VLOOKUP($C$4,Working!$A$23:$L$52,Working!$I$21,0)="Y",TEXT($C$6,"YYYYMM")&amp;"_"&amp;$E28&amp;"_"&amp;Working!$B$13&amp;Working!$B$14,"")</f>
        <v/>
      </c>
      <c r="O28" s="4" t="s">
        <v>228</v>
      </c>
      <c r="P28" s="4" t="s">
        <v>228</v>
      </c>
      <c r="Q28" s="41"/>
      <c r="R28" s="41"/>
      <c r="S28" s="41"/>
      <c r="T28" s="41"/>
      <c r="U28" s="41" t="s">
        <v>228</v>
      </c>
      <c r="V28" s="54"/>
      <c r="AS28"/>
    </row>
    <row r="29" spans="1:45" x14ac:dyDescent="0.3">
      <c r="A29" s="11">
        <v>621</v>
      </c>
      <c r="B29" s="37" t="str">
        <f>VLOOKUP(A29,'Monthly EE List'!A:D,4,0)&amp;" "&amp;VLOOKUP(A29,'Monthly EE List'!A:D,3,0)</f>
        <v>MARIO CHARETTE</v>
      </c>
      <c r="C29" s="38" t="s">
        <v>550</v>
      </c>
      <c r="D29" s="4" t="s">
        <v>599</v>
      </c>
      <c r="E29">
        <v>51417</v>
      </c>
      <c r="F29" t="s">
        <v>217</v>
      </c>
      <c r="G29" s="4" t="s">
        <v>244</v>
      </c>
      <c r="H29" s="4" t="str">
        <f>VLOOKUP(A29,'Monthly EE List'!A:G,7,0)</f>
        <v>A</v>
      </c>
      <c r="I29" t="s">
        <v>211</v>
      </c>
      <c r="J29" s="5">
        <v>41744</v>
      </c>
      <c r="K29" t="s">
        <v>2665</v>
      </c>
      <c r="L29" s="4" t="str">
        <f t="shared" ca="1" si="0"/>
        <v/>
      </c>
      <c r="M29" s="6" t="str">
        <f>IF(VLOOKUP($C$4,Working!$A$23:$L$52,Working!$F$21,0)="Y",TEXT($C$6,"YYYYMM")&amp;"_"&amp;$E29&amp;"_"&amp;Working!$B$11&amp;Working!$B$12,"")</f>
        <v>201703_51417_Top15.xlsx</v>
      </c>
      <c r="N29" s="6" t="str">
        <f>IF(VLOOKUP($C$4,Working!$A$23:$L$52,Working!$I$21,0)="Y",TEXT($C$6,"YYYYMM")&amp;"_"&amp;$E29&amp;"_"&amp;Working!$B$13&amp;Working!$B$14,"")</f>
        <v/>
      </c>
      <c r="O29" s="4"/>
      <c r="P29" s="4"/>
      <c r="Q29" s="54"/>
      <c r="R29" s="41"/>
      <c r="S29" s="41"/>
      <c r="T29" s="41"/>
      <c r="U29" s="41"/>
      <c r="V29" s="4"/>
      <c r="AS29"/>
    </row>
    <row r="30" spans="1:45" x14ac:dyDescent="0.3">
      <c r="A30">
        <v>671</v>
      </c>
      <c r="B30" s="37" t="str">
        <f>VLOOKUP(A30,'Monthly EE List'!A:D,4,0)&amp;" "&amp;VLOOKUP(A30,'Monthly EE List'!A:D,3,0)</f>
        <v>STEVE BIZRI</v>
      </c>
      <c r="C30" s="38" t="s">
        <v>330</v>
      </c>
      <c r="D30" s="4" t="s">
        <v>599</v>
      </c>
      <c r="E30">
        <v>61313</v>
      </c>
      <c r="F30" t="s">
        <v>221</v>
      </c>
      <c r="G30" s="4" t="s">
        <v>244</v>
      </c>
      <c r="H30" s="4" t="str">
        <f>VLOOKUP(A30,'Monthly EE List'!A:G,7,0)</f>
        <v>A</v>
      </c>
      <c r="I30" t="s">
        <v>212</v>
      </c>
      <c r="J30" s="5">
        <v>41669</v>
      </c>
      <c r="K30" t="s">
        <v>571</v>
      </c>
      <c r="L30" s="4" t="str">
        <f t="shared" ca="1" si="0"/>
        <v/>
      </c>
      <c r="M30" s="6" t="str">
        <f>IF(VLOOKUP($C$4,Working!$A$23:$L$52,Working!$F$21,0)="Y",TEXT($C$6,"YYYYMM")&amp;"_"&amp;$E30&amp;"_"&amp;Working!$B$11&amp;Working!$B$12,"")</f>
        <v>201703_61313_Top15.xlsx</v>
      </c>
      <c r="N30" s="6" t="str">
        <f>IF(VLOOKUP($C$4,Working!$A$23:$L$52,Working!$I$21,0)="Y",TEXT($C$6,"YYYYMM")&amp;"_"&amp;$E30&amp;"_"&amp;Working!$B$13&amp;Working!$B$14,"")</f>
        <v/>
      </c>
      <c r="O30" s="4"/>
      <c r="P30" s="4"/>
      <c r="Q30" s="41" t="s">
        <v>228</v>
      </c>
      <c r="R30" s="41"/>
      <c r="S30" s="41"/>
      <c r="T30" s="41"/>
      <c r="U30" s="41"/>
      <c r="V30" s="4"/>
      <c r="AS30"/>
    </row>
    <row r="31" spans="1:45" x14ac:dyDescent="0.3">
      <c r="A31">
        <v>673</v>
      </c>
      <c r="B31" s="37" t="str">
        <f>VLOOKUP(A31,'Monthly EE List'!A:D,4,0)&amp;" "&amp;VLOOKUP(A31,'Monthly EE List'!A:D,3,0)</f>
        <v>STEPHANE ROBILLARD</v>
      </c>
      <c r="C31" s="38" t="s">
        <v>328</v>
      </c>
      <c r="D31" s="4" t="s">
        <v>599</v>
      </c>
      <c r="E31">
        <v>51423</v>
      </c>
      <c r="F31" t="s">
        <v>217</v>
      </c>
      <c r="G31" s="4" t="s">
        <v>244</v>
      </c>
      <c r="H31" s="4" t="str">
        <f>VLOOKUP(A31,'Monthly EE List'!A:G,7,0)</f>
        <v>A</v>
      </c>
      <c r="J31" s="5"/>
      <c r="L31" s="4" t="str">
        <f t="shared" ca="1" si="0"/>
        <v/>
      </c>
      <c r="M31" s="6" t="str">
        <f>IF(VLOOKUP($C$4,Working!$A$23:$L$52,Working!$F$21,0)="Y",TEXT($C$6,"YYYYMM")&amp;"_"&amp;$E31&amp;"_"&amp;Working!$B$11&amp;Working!$B$12,"")</f>
        <v>201703_51423_Top15.xlsx</v>
      </c>
      <c r="N31" s="6" t="str">
        <f>IF(VLOOKUP($C$4,Working!$A$23:$L$52,Working!$I$21,0)="Y",TEXT($C$6,"YYYYMM")&amp;"_"&amp;$E31&amp;"_"&amp;Working!$B$13&amp;Working!$B$14,"")</f>
        <v/>
      </c>
      <c r="O31" s="4"/>
      <c r="P31" s="4"/>
      <c r="Q31" s="41" t="s">
        <v>228</v>
      </c>
      <c r="R31" s="41"/>
      <c r="S31" s="41"/>
      <c r="T31" s="41"/>
      <c r="U31" s="41"/>
      <c r="V31" s="4"/>
      <c r="AS31"/>
    </row>
    <row r="32" spans="1:45" x14ac:dyDescent="0.3">
      <c r="A32">
        <v>685</v>
      </c>
      <c r="B32" s="37" t="str">
        <f>VLOOKUP(A32,'Monthly EE List'!A:D,4,0)&amp;" "&amp;VLOOKUP(A32,'Monthly EE List'!A:D,3,0)</f>
        <v>ED CORNELIUS</v>
      </c>
      <c r="C32" s="38" t="s">
        <v>272</v>
      </c>
      <c r="D32" s="4" t="s">
        <v>599</v>
      </c>
      <c r="E32">
        <v>90203</v>
      </c>
      <c r="F32" t="s">
        <v>220</v>
      </c>
      <c r="G32" s="4" t="s">
        <v>244</v>
      </c>
      <c r="H32" s="4" t="str">
        <f>VLOOKUP(A32,'Monthly EE List'!A:G,7,0)</f>
        <v>A</v>
      </c>
      <c r="I32" t="s">
        <v>212</v>
      </c>
      <c r="J32" s="5">
        <v>41669</v>
      </c>
      <c r="K32" t="s">
        <v>571</v>
      </c>
      <c r="L32" s="4" t="str">
        <f t="shared" ca="1" si="0"/>
        <v/>
      </c>
      <c r="M32" s="6" t="str">
        <f>IF(VLOOKUP($C$4,Working!$A$23:$L$52,Working!$F$21,0)="Y",TEXT($C$6,"YYYYMM")&amp;"_"&amp;$E32&amp;"_"&amp;Working!$B$11&amp;Working!$B$12,"")</f>
        <v>201703_90203_Top15.xlsx</v>
      </c>
      <c r="N32" s="6" t="str">
        <f>IF(VLOOKUP($C$4,Working!$A$23:$L$52,Working!$I$21,0)="Y",TEXT($C$6,"YYYYMM")&amp;"_"&amp;$E32&amp;"_"&amp;Working!$B$13&amp;Working!$B$14,"")</f>
        <v/>
      </c>
      <c r="O32" s="4"/>
      <c r="P32" s="4"/>
      <c r="Q32" s="41" t="s">
        <v>228</v>
      </c>
      <c r="R32" s="41"/>
      <c r="S32" s="41"/>
      <c r="T32" s="41"/>
      <c r="U32" s="41"/>
      <c r="V32" s="4"/>
      <c r="AS32"/>
    </row>
    <row r="33" spans="1:45" x14ac:dyDescent="0.3">
      <c r="A33">
        <v>690</v>
      </c>
      <c r="B33" s="37" t="str">
        <f>VLOOKUP(A33,'Monthly EE List'!A:D,4,0)&amp;" "&amp;VLOOKUP(A33,'Monthly EE List'!A:D,3,0)</f>
        <v>JOHN KOSIEK</v>
      </c>
      <c r="C33" s="38" t="s">
        <v>291</v>
      </c>
      <c r="D33" s="4" t="s">
        <v>599</v>
      </c>
      <c r="E33">
        <v>41620</v>
      </c>
      <c r="F33" t="s">
        <v>215</v>
      </c>
      <c r="G33" s="4" t="s">
        <v>244</v>
      </c>
      <c r="H33" s="4" t="str">
        <f>VLOOKUP(A33,'Monthly EE List'!A:G,7,0)</f>
        <v>A</v>
      </c>
      <c r="J33" s="5"/>
      <c r="L33" s="4" t="str">
        <f t="shared" ca="1" si="0"/>
        <v/>
      </c>
      <c r="M33" s="6" t="str">
        <f>IF(VLOOKUP($C$4,Working!$A$23:$L$52,Working!$F$21,0)="Y",TEXT($C$6,"YYYYMM")&amp;"_"&amp;$E33&amp;"_"&amp;Working!$B$11&amp;Working!$B$12,"")</f>
        <v>201703_41620_Top15.xlsx</v>
      </c>
      <c r="N33" s="6" t="str">
        <f>IF(VLOOKUP($C$4,Working!$A$23:$L$52,Working!$I$21,0)="Y",TEXT($C$6,"YYYYMM")&amp;"_"&amp;$E33&amp;"_"&amp;Working!$B$13&amp;Working!$B$14,"")</f>
        <v/>
      </c>
      <c r="O33" s="4"/>
      <c r="P33" s="4"/>
      <c r="Q33" s="41" t="s">
        <v>228</v>
      </c>
      <c r="R33" s="41"/>
      <c r="S33" s="41"/>
      <c r="T33" s="41"/>
      <c r="U33" s="41"/>
      <c r="V33" s="4"/>
      <c r="AS33"/>
    </row>
    <row r="34" spans="1:45" x14ac:dyDescent="0.3">
      <c r="A34">
        <v>820</v>
      </c>
      <c r="B34" s="37" t="str">
        <f>VLOOKUP(A34,'Monthly EE List'!A:D,4,0)&amp;" "&amp;VLOOKUP(A34,'Monthly EE List'!A:D,3,0)</f>
        <v>KELVIN DAY</v>
      </c>
      <c r="C34" s="38" t="s">
        <v>359</v>
      </c>
      <c r="D34" s="4" t="s">
        <v>599</v>
      </c>
      <c r="E34" t="s">
        <v>56</v>
      </c>
      <c r="F34" t="s">
        <v>215</v>
      </c>
      <c r="G34" s="4" t="s">
        <v>142</v>
      </c>
      <c r="H34" s="4" t="str">
        <f>VLOOKUP(A34,'Monthly EE List'!A:G,7,0)</f>
        <v>A</v>
      </c>
      <c r="J34" s="5"/>
      <c r="L34" s="4" t="str">
        <f t="shared" ca="1" si="0"/>
        <v/>
      </c>
      <c r="M34" s="6" t="str">
        <f>IF(VLOOKUP($C$4,Working!$A$23:$L$52,Working!$F$21,0)="Y",TEXT($C$6,"YYYYMM")&amp;"_"&amp;$E34&amp;"_"&amp;Working!$B$11&amp;Working!$B$12,"")</f>
        <v>201703_CZ1KD_Top15.xlsx</v>
      </c>
      <c r="N34" s="6" t="str">
        <f>IF(VLOOKUP($C$4,Working!$A$23:$L$52,Working!$I$21,0)="Y",TEXT($C$6,"YYYYMM")&amp;"_"&amp;$E34&amp;"_"&amp;Working!$B$13&amp;Working!$B$14,"")</f>
        <v/>
      </c>
      <c r="O34" s="4" t="s">
        <v>228</v>
      </c>
      <c r="P34" s="4" t="s">
        <v>228</v>
      </c>
      <c r="Q34" s="41"/>
      <c r="R34" s="41"/>
      <c r="S34" s="41"/>
      <c r="T34" s="41"/>
      <c r="U34" s="41" t="s">
        <v>228</v>
      </c>
      <c r="V34" s="54"/>
      <c r="AS34"/>
    </row>
    <row r="35" spans="1:45" x14ac:dyDescent="0.3">
      <c r="A35">
        <v>863</v>
      </c>
      <c r="B35" s="37" t="str">
        <f>VLOOKUP(A35,'Monthly EE List'!A:D,4,0)&amp;" "&amp;VLOOKUP(A35,'Monthly EE List'!A:D,3,0)</f>
        <v>JOSEE LYONNAIS</v>
      </c>
      <c r="C35" s="38" t="s">
        <v>360</v>
      </c>
      <c r="D35" s="4" t="s">
        <v>599</v>
      </c>
      <c r="E35" t="s">
        <v>58</v>
      </c>
      <c r="F35" t="s">
        <v>219</v>
      </c>
      <c r="G35" s="4" t="s">
        <v>142</v>
      </c>
      <c r="H35" s="4" t="str">
        <f>VLOOKUP(A35,'Monthly EE List'!A:G,7,0)</f>
        <v>A</v>
      </c>
      <c r="J35" s="5"/>
      <c r="L35" s="4" t="str">
        <f t="shared" ca="1" si="0"/>
        <v/>
      </c>
      <c r="M35" s="6" t="str">
        <f>IF(VLOOKUP($C$4,Working!$A$23:$L$52,Working!$F$21,0)="Y",TEXT($C$6,"YYYYMM")&amp;"_"&amp;$E35&amp;"_"&amp;Working!$B$11&amp;Working!$B$12,"")</f>
        <v>201703_QZ1CF_Top15.xlsx</v>
      </c>
      <c r="N35" s="6" t="str">
        <f>IF(VLOOKUP($C$4,Working!$A$23:$L$52,Working!$I$21,0)="Y",TEXT($C$6,"YYYYMM")&amp;"_"&amp;$E35&amp;"_"&amp;Working!$B$13&amp;Working!$B$14,"")</f>
        <v/>
      </c>
      <c r="O35" s="4" t="s">
        <v>228</v>
      </c>
      <c r="P35" s="4" t="s">
        <v>228</v>
      </c>
      <c r="Q35" s="41"/>
      <c r="R35" s="41"/>
      <c r="S35" s="41"/>
      <c r="T35" s="41"/>
      <c r="U35" s="41" t="s">
        <v>228</v>
      </c>
      <c r="V35" s="4" t="s">
        <v>228</v>
      </c>
      <c r="AS35"/>
    </row>
    <row r="36" spans="1:45" x14ac:dyDescent="0.3">
      <c r="A36">
        <v>880</v>
      </c>
      <c r="B36" s="37" t="str">
        <f>VLOOKUP(A36,'Monthly EE List'!A:D,4,0)&amp;" "&amp;VLOOKUP(A36,'Monthly EE List'!A:D,3,0)</f>
        <v>LEO FOWLER</v>
      </c>
      <c r="C36" s="38" t="s">
        <v>361</v>
      </c>
      <c r="D36" s="4" t="s">
        <v>599</v>
      </c>
      <c r="E36" t="s">
        <v>59</v>
      </c>
      <c r="F36" t="s">
        <v>221</v>
      </c>
      <c r="G36" s="4" t="s">
        <v>142</v>
      </c>
      <c r="H36" s="4" t="str">
        <f>VLOOKUP(A36,'Monthly EE List'!A:G,7,0)</f>
        <v>A</v>
      </c>
      <c r="J36" s="5"/>
      <c r="L36" s="4" t="str">
        <f t="shared" ca="1" si="0"/>
        <v/>
      </c>
      <c r="M36" s="6" t="str">
        <f>IF(VLOOKUP($C$4,Working!$A$23:$L$52,Working!$F$21,0)="Y",TEXT($C$6,"YYYYMM")&amp;"_"&amp;$E36&amp;"_"&amp;Working!$B$11&amp;Working!$B$12,"")</f>
        <v>201703_CZ1EM_Top15.xlsx</v>
      </c>
      <c r="N36" s="6" t="str">
        <f>IF(VLOOKUP($C$4,Working!$A$23:$L$52,Working!$I$21,0)="Y",TEXT($C$6,"YYYYMM")&amp;"_"&amp;$E36&amp;"_"&amp;Working!$B$13&amp;Working!$B$14,"")</f>
        <v/>
      </c>
      <c r="O36" s="4" t="s">
        <v>228</v>
      </c>
      <c r="P36" s="4" t="s">
        <v>228</v>
      </c>
      <c r="Q36" s="41"/>
      <c r="R36" s="41"/>
      <c r="S36" s="41"/>
      <c r="T36" s="41"/>
      <c r="U36" s="41" t="s">
        <v>228</v>
      </c>
      <c r="V36" s="54"/>
      <c r="AS36"/>
    </row>
    <row r="37" spans="1:45" x14ac:dyDescent="0.3">
      <c r="A37">
        <v>920</v>
      </c>
      <c r="B37" s="37" t="str">
        <f>VLOOKUP(A37,'Monthly EE List'!A:D,4,0)&amp;" "&amp;VLOOKUP(A37,'Monthly EE List'!A:D,3,0)</f>
        <v>TOM STRIZIC</v>
      </c>
      <c r="C37" s="38" t="s">
        <v>334</v>
      </c>
      <c r="D37" s="4" t="s">
        <v>599</v>
      </c>
      <c r="E37">
        <v>41647</v>
      </c>
      <c r="F37" t="s">
        <v>215</v>
      </c>
      <c r="G37" s="4" t="s">
        <v>244</v>
      </c>
      <c r="H37" s="4" t="str">
        <f>VLOOKUP(A37,'Monthly EE List'!A:G,7,0)</f>
        <v>A</v>
      </c>
      <c r="J37" s="5"/>
      <c r="L37" s="4" t="str">
        <f t="shared" ca="1" si="0"/>
        <v/>
      </c>
      <c r="M37" s="6" t="str">
        <f>IF(VLOOKUP($C$4,Working!$A$23:$L$52,Working!$F$21,0)="Y",TEXT($C$6,"YYYYMM")&amp;"_"&amp;$E37&amp;"_"&amp;Working!$B$11&amp;Working!$B$12,"")</f>
        <v>201703_41647_Top15.xlsx</v>
      </c>
      <c r="N37" s="6" t="str">
        <f>IF(VLOOKUP($C$4,Working!$A$23:$L$52,Working!$I$21,0)="Y",TEXT($C$6,"YYYYMM")&amp;"_"&amp;$E37&amp;"_"&amp;Working!$B$13&amp;Working!$B$14,"")</f>
        <v/>
      </c>
      <c r="O37" s="4"/>
      <c r="P37" s="4"/>
      <c r="Q37" s="41" t="s">
        <v>228</v>
      </c>
      <c r="R37" s="41"/>
      <c r="S37" s="41"/>
      <c r="T37" s="41"/>
      <c r="U37" s="41"/>
      <c r="V37" s="4"/>
      <c r="AS37"/>
    </row>
    <row r="38" spans="1:45" x14ac:dyDescent="0.3">
      <c r="A38">
        <v>927</v>
      </c>
      <c r="B38" s="37" t="str">
        <f>VLOOKUP(A38,'Monthly EE List'!A:D,4,0)&amp;" "&amp;VLOOKUP(A38,'Monthly EE List'!A:D,3,0)</f>
        <v>CAROLINE LATOUR</v>
      </c>
      <c r="C38" s="38" t="s">
        <v>363</v>
      </c>
      <c r="D38" s="4" t="s">
        <v>599</v>
      </c>
      <c r="E38" t="s">
        <v>61</v>
      </c>
      <c r="F38" t="s">
        <v>217</v>
      </c>
      <c r="G38" s="4" t="s">
        <v>142</v>
      </c>
      <c r="H38" s="4" t="str">
        <f>VLOOKUP(A38,'Monthly EE List'!A:G,7,0)</f>
        <v>A</v>
      </c>
      <c r="I38" t="s">
        <v>212</v>
      </c>
      <c r="J38" s="5">
        <v>41715</v>
      </c>
      <c r="K38" t="s">
        <v>2405</v>
      </c>
      <c r="L38" s="4" t="str">
        <f t="shared" ca="1" si="0"/>
        <v/>
      </c>
      <c r="M38" s="6" t="str">
        <f>IF(VLOOKUP($C$4,Working!$A$23:$L$52,Working!$F$21,0)="Y",TEXT($C$6,"YYYYMM")&amp;"_"&amp;$E38&amp;"_"&amp;Working!$B$11&amp;Working!$B$12,"")</f>
        <v>201703_QZ1DP_Top15.xlsx</v>
      </c>
      <c r="N38" s="6" t="str">
        <f>IF(VLOOKUP($C$4,Working!$A$23:$L$52,Working!$I$21,0)="Y",TEXT($C$6,"YYYYMM")&amp;"_"&amp;$E38&amp;"_"&amp;Working!$B$13&amp;Working!$B$14,"")</f>
        <v/>
      </c>
      <c r="O38" s="4" t="s">
        <v>228</v>
      </c>
      <c r="P38" s="4" t="s">
        <v>228</v>
      </c>
      <c r="Q38" s="41"/>
      <c r="R38" s="41"/>
      <c r="S38" s="41"/>
      <c r="T38" s="41"/>
      <c r="U38" s="41" t="s">
        <v>228</v>
      </c>
      <c r="V38" s="4" t="s">
        <v>228</v>
      </c>
      <c r="AS38"/>
    </row>
    <row r="39" spans="1:45" x14ac:dyDescent="0.3">
      <c r="A39">
        <v>930</v>
      </c>
      <c r="B39" s="37" t="str">
        <f>VLOOKUP(A39,'Monthly EE List'!A:D,4,0)&amp;" "&amp;VLOOKUP(A39,'Monthly EE List'!A:D,3,0)</f>
        <v>SUSAN CHOMUT</v>
      </c>
      <c r="C39" s="38" t="s">
        <v>364</v>
      </c>
      <c r="D39" s="4" t="s">
        <v>599</v>
      </c>
      <c r="E39" t="s">
        <v>62</v>
      </c>
      <c r="F39" t="s">
        <v>216</v>
      </c>
      <c r="G39" s="4" t="s">
        <v>142</v>
      </c>
      <c r="H39" s="4" t="str">
        <f>VLOOKUP(A39,'Monthly EE List'!A:G,7,0)</f>
        <v>A</v>
      </c>
      <c r="J39" s="5"/>
      <c r="L39" s="4" t="str">
        <f t="shared" ca="1" si="0"/>
        <v/>
      </c>
      <c r="M39" s="6" t="str">
        <f>IF(VLOOKUP($C$4,Working!$A$23:$L$52,Working!$F$21,0)="Y",TEXT($C$6,"YYYYMM")&amp;"_"&amp;$E39&amp;"_"&amp;Working!$B$11&amp;Working!$B$12,"")</f>
        <v>201703_CZ1DA_Top15.xlsx</v>
      </c>
      <c r="N39" s="6" t="str">
        <f>IF(VLOOKUP($C$4,Working!$A$23:$L$52,Working!$I$21,0)="Y",TEXT($C$6,"YYYYMM")&amp;"_"&amp;$E39&amp;"_"&amp;Working!$B$13&amp;Working!$B$14,"")</f>
        <v/>
      </c>
      <c r="O39" s="4" t="s">
        <v>228</v>
      </c>
      <c r="P39" s="4" t="s">
        <v>228</v>
      </c>
      <c r="Q39" s="41"/>
      <c r="R39" s="41"/>
      <c r="S39" s="41"/>
      <c r="T39" s="41"/>
      <c r="U39" s="41" t="s">
        <v>228</v>
      </c>
      <c r="V39" s="54"/>
      <c r="AS39"/>
    </row>
    <row r="40" spans="1:45" x14ac:dyDescent="0.3">
      <c r="A40">
        <v>930</v>
      </c>
      <c r="B40" s="37" t="str">
        <f>VLOOKUP(A40,'Monthly EE List'!A:D,4,0)&amp;" "&amp;VLOOKUP(A40,'Monthly EE List'!A:D,3,0)</f>
        <v>SUSAN CHOMUT</v>
      </c>
      <c r="C40" s="38" t="s">
        <v>364</v>
      </c>
      <c r="D40" s="4" t="s">
        <v>599</v>
      </c>
      <c r="E40" t="s">
        <v>3653</v>
      </c>
      <c r="F40" t="s">
        <v>216</v>
      </c>
      <c r="G40" s="4" t="s">
        <v>142</v>
      </c>
      <c r="H40" s="4" t="str">
        <f>VLOOKUP(A40,'Monthly EE List'!A:G,7,0)</f>
        <v>A</v>
      </c>
      <c r="I40" t="s">
        <v>211</v>
      </c>
      <c r="J40" s="5">
        <v>42444</v>
      </c>
      <c r="K40" t="s">
        <v>3654</v>
      </c>
      <c r="L40" s="4" t="str">
        <f t="shared" ca="1" si="0"/>
        <v/>
      </c>
      <c r="M40" s="6" t="str">
        <f>IF(VLOOKUP($C$4,Working!$A$23:$L$52,Working!$F$21,0)="Y",TEXT($C$6,"YYYYMM")&amp;"_"&amp;$E40&amp;"_"&amp;Working!$B$11&amp;Working!$B$12,"")</f>
        <v>201703_WZ1DA_Top15.xlsx</v>
      </c>
      <c r="N40" s="6" t="str">
        <f>IF(VLOOKUP($C$4,Working!$A$23:$L$52,Working!$I$21,0)="Y",TEXT($C$6,"YYYYMM")&amp;"_"&amp;$E40&amp;"_"&amp;Working!$B$13&amp;Working!$B$14,"")</f>
        <v/>
      </c>
      <c r="O40" s="54"/>
      <c r="P40" s="54"/>
      <c r="Q40" s="41"/>
      <c r="R40" s="41"/>
      <c r="S40" s="41"/>
      <c r="T40" s="41"/>
      <c r="U40" s="54"/>
      <c r="V40" s="54"/>
      <c r="AS40"/>
    </row>
    <row r="41" spans="1:45" x14ac:dyDescent="0.3">
      <c r="A41">
        <v>940</v>
      </c>
      <c r="B41" s="37" t="str">
        <f>VLOOKUP(A41,'Monthly EE List'!A:D,4,0)&amp;" "&amp;VLOOKUP(A41,'Monthly EE List'!A:D,3,0)</f>
        <v>STEPHANE FORTIER</v>
      </c>
      <c r="C41" s="38" t="s">
        <v>326</v>
      </c>
      <c r="D41" s="4" t="s">
        <v>599</v>
      </c>
      <c r="E41">
        <v>41810</v>
      </c>
      <c r="F41" t="s">
        <v>219</v>
      </c>
      <c r="G41" s="4" t="s">
        <v>244</v>
      </c>
      <c r="H41" s="4" t="str">
        <f>VLOOKUP(A41,'Monthly EE List'!A:G,7,0)</f>
        <v>A</v>
      </c>
      <c r="J41" s="5"/>
      <c r="L41" s="4" t="str">
        <f t="shared" ca="1" si="0"/>
        <v/>
      </c>
      <c r="M41" s="6" t="str">
        <f>IF(VLOOKUP($C$4,Working!$A$23:$L$52,Working!$F$21,0)="Y",TEXT($C$6,"YYYYMM")&amp;"_"&amp;$E41&amp;"_"&amp;Working!$B$11&amp;Working!$B$12,"")</f>
        <v>201703_41810_Top15.xlsx</v>
      </c>
      <c r="N41" s="6" t="str">
        <f>IF(VLOOKUP($C$4,Working!$A$23:$L$52,Working!$I$21,0)="Y",TEXT($C$6,"YYYYMM")&amp;"_"&amp;$E41&amp;"_"&amp;Working!$B$13&amp;Working!$B$14,"")</f>
        <v/>
      </c>
      <c r="O41" s="4"/>
      <c r="P41" s="4"/>
      <c r="Q41" s="41" t="s">
        <v>228</v>
      </c>
      <c r="R41" s="41"/>
      <c r="S41" s="41"/>
      <c r="T41" s="41"/>
      <c r="U41" s="41"/>
      <c r="V41" s="4"/>
      <c r="AS41"/>
    </row>
    <row r="42" spans="1:45" x14ac:dyDescent="0.3">
      <c r="A42">
        <v>952</v>
      </c>
      <c r="B42" s="37" t="str">
        <f>VLOOKUP(A42,'Monthly EE List'!A:D,4,0)&amp;" "&amp;VLOOKUP(A42,'Monthly EE List'!A:D,3,0)</f>
        <v>TODD REYNOLDS</v>
      </c>
      <c r="C42" s="38" t="s">
        <v>3373</v>
      </c>
      <c r="D42" s="4" t="s">
        <v>599</v>
      </c>
      <c r="E42">
        <v>41646</v>
      </c>
      <c r="F42" t="s">
        <v>215</v>
      </c>
      <c r="G42" s="4" t="s">
        <v>244</v>
      </c>
      <c r="H42" s="4" t="str">
        <f>VLOOKUP(A42,'Monthly EE List'!A:G,7,0)</f>
        <v>A</v>
      </c>
      <c r="I42" t="s">
        <v>211</v>
      </c>
      <c r="J42" s="5">
        <v>42108</v>
      </c>
      <c r="K42" t="s">
        <v>551</v>
      </c>
      <c r="L42" s="4" t="str">
        <f t="shared" ca="1" si="0"/>
        <v/>
      </c>
      <c r="M42" s="6" t="str">
        <f>IF(VLOOKUP($C$4,Working!$A$23:$L$52,Working!$F$21,0)="Y",TEXT($C$6,"YYYYMM")&amp;"_"&amp;$E42&amp;"_"&amp;Working!$B$11&amp;Working!$B$12,"")</f>
        <v>201703_41646_Top15.xlsx</v>
      </c>
      <c r="N42" s="6" t="str">
        <f>IF(VLOOKUP($C$4,Working!$A$23:$L$52,Working!$I$21,0)="Y",TEXT($C$6,"YYYYMM")&amp;"_"&amp;$E42&amp;"_"&amp;Working!$B$13&amp;Working!$B$14,"")</f>
        <v/>
      </c>
      <c r="O42" s="4"/>
      <c r="P42" s="59"/>
      <c r="Q42" s="41" t="s">
        <v>228</v>
      </c>
      <c r="R42" s="41"/>
      <c r="S42" s="41"/>
      <c r="T42" s="41"/>
      <c r="U42" s="41"/>
      <c r="V42" s="59"/>
      <c r="AS42"/>
    </row>
    <row r="43" spans="1:45" x14ac:dyDescent="0.3">
      <c r="A43">
        <v>958</v>
      </c>
      <c r="B43" s="37" t="str">
        <f>VLOOKUP(A43,'Monthly EE List'!A:D,4,0)&amp;" "&amp;VLOOKUP(A43,'Monthly EE List'!A:D,3,0)</f>
        <v>SONIA LANDRY</v>
      </c>
      <c r="C43" s="38" t="s">
        <v>365</v>
      </c>
      <c r="D43" s="4" t="s">
        <v>599</v>
      </c>
      <c r="E43" t="s">
        <v>63</v>
      </c>
      <c r="F43" t="s">
        <v>217</v>
      </c>
      <c r="G43" s="4" t="s">
        <v>142</v>
      </c>
      <c r="H43" s="4" t="str">
        <f>VLOOKUP(A43,'Monthly EE List'!A:G,7,0)</f>
        <v>A</v>
      </c>
      <c r="J43" s="5"/>
      <c r="L43" s="4" t="str">
        <f t="shared" ca="1" si="0"/>
        <v/>
      </c>
      <c r="M43" s="6" t="str">
        <f>IF(VLOOKUP($C$4,Working!$A$23:$L$52,Working!$F$21,0)="Y",TEXT($C$6,"YYYYMM")&amp;"_"&amp;$E43&amp;"_"&amp;Working!$B$11&amp;Working!$B$12,"")</f>
        <v>201703_QZ1LM_Top15.xlsx</v>
      </c>
      <c r="N43" s="6" t="str">
        <f>IF(VLOOKUP($C$4,Working!$A$23:$L$52,Working!$I$21,0)="Y",TEXT($C$6,"YYYYMM")&amp;"_"&amp;$E43&amp;"_"&amp;Working!$B$13&amp;Working!$B$14,"")</f>
        <v/>
      </c>
      <c r="O43" s="4" t="s">
        <v>228</v>
      </c>
      <c r="P43" s="4" t="s">
        <v>228</v>
      </c>
      <c r="Q43" s="41"/>
      <c r="R43" s="41"/>
      <c r="S43" s="41"/>
      <c r="T43" s="41"/>
      <c r="U43" s="41" t="s">
        <v>228</v>
      </c>
      <c r="V43" s="4" t="s">
        <v>228</v>
      </c>
      <c r="AS43"/>
    </row>
    <row r="44" spans="1:45" x14ac:dyDescent="0.3">
      <c r="A44">
        <v>965</v>
      </c>
      <c r="B44" s="37" t="str">
        <f>VLOOKUP(A44,'Monthly EE List'!A:D,4,0)&amp;" "&amp;VLOOKUP(A44,'Monthly EE List'!A:D,3,0)</f>
        <v>STEPHANE MORNEAU</v>
      </c>
      <c r="C44" s="38" t="s">
        <v>327</v>
      </c>
      <c r="D44" s="4" t="s">
        <v>599</v>
      </c>
      <c r="E44">
        <v>51422</v>
      </c>
      <c r="F44" t="s">
        <v>217</v>
      </c>
      <c r="G44" s="4" t="s">
        <v>244</v>
      </c>
      <c r="H44" s="4" t="str">
        <f>VLOOKUP(A44,'Monthly EE List'!A:G,7,0)</f>
        <v>A</v>
      </c>
      <c r="J44" s="5"/>
      <c r="L44" s="4" t="str">
        <f t="shared" ca="1" si="0"/>
        <v/>
      </c>
      <c r="M44" s="6" t="str">
        <f>IF(VLOOKUP($C$4,Working!$A$23:$L$52,Working!$F$21,0)="Y",TEXT($C$6,"YYYYMM")&amp;"_"&amp;$E44&amp;"_"&amp;Working!$B$11&amp;Working!$B$12,"")</f>
        <v>201703_51422_Top15.xlsx</v>
      </c>
      <c r="N44" s="6" t="str">
        <f>IF(VLOOKUP($C$4,Working!$A$23:$L$52,Working!$I$21,0)="Y",TEXT($C$6,"YYYYMM")&amp;"_"&amp;$E44&amp;"_"&amp;Working!$B$13&amp;Working!$B$14,"")</f>
        <v/>
      </c>
      <c r="O44" s="4"/>
      <c r="P44" s="4"/>
      <c r="Q44" s="41" t="s">
        <v>228</v>
      </c>
      <c r="R44" s="41"/>
      <c r="S44" s="41"/>
      <c r="T44" s="41"/>
      <c r="U44" s="41"/>
      <c r="V44" s="4"/>
      <c r="AS44"/>
    </row>
    <row r="45" spans="1:45" x14ac:dyDescent="0.3">
      <c r="A45" s="10">
        <v>978</v>
      </c>
      <c r="B45" s="37" t="str">
        <f>VLOOKUP(A45,'Monthly EE List'!A:D,4,0)&amp;" "&amp;VLOOKUP(A45,'Monthly EE List'!A:D,3,0)</f>
        <v>SCOTT THORNTON</v>
      </c>
      <c r="C45" s="38" t="s">
        <v>2703</v>
      </c>
      <c r="D45" s="4" t="s">
        <v>599</v>
      </c>
      <c r="E45" t="s">
        <v>220</v>
      </c>
      <c r="F45" t="s">
        <v>220</v>
      </c>
      <c r="G45" s="4" t="s">
        <v>2715</v>
      </c>
      <c r="H45" s="4" t="str">
        <f>VLOOKUP(A45,'Monthly EE List'!A:G,7,0)</f>
        <v>A</v>
      </c>
      <c r="I45" t="s">
        <v>211</v>
      </c>
      <c r="J45" s="5">
        <v>41191</v>
      </c>
      <c r="K45" t="s">
        <v>2716</v>
      </c>
      <c r="L45" s="4" t="str">
        <f t="shared" ca="1" si="0"/>
        <v>X</v>
      </c>
      <c r="M45" s="6" t="str">
        <f>IF(VLOOKUP($C$4,Working!$A$23:$L$52,Working!$F$21,0)="Y",TEXT($C$6,"YYYYMM")&amp;"_"&amp;$E45&amp;"_"&amp;Working!$B$11&amp;Working!$B$12,"")</f>
        <v>201703_HALFX_Top15.xlsx</v>
      </c>
      <c r="N45" s="6" t="str">
        <f>IF(VLOOKUP($C$4,Working!$A$23:$L$52,Working!$I$21,0)="Y",TEXT($C$6,"YYYYMM")&amp;"_"&amp;$E45&amp;"_"&amp;Working!$B$13&amp;Working!$B$14,"")</f>
        <v/>
      </c>
      <c r="O45" s="4"/>
      <c r="P45" s="4"/>
      <c r="Q45" s="41"/>
      <c r="R45" s="41"/>
      <c r="S45" s="41"/>
      <c r="T45" s="41"/>
      <c r="U45" s="4"/>
      <c r="V45" s="4"/>
      <c r="W45" s="4" t="s">
        <v>228</v>
      </c>
      <c r="AS45"/>
    </row>
    <row r="46" spans="1:45" x14ac:dyDescent="0.3">
      <c r="A46">
        <v>978</v>
      </c>
      <c r="B46" s="37" t="str">
        <f>VLOOKUP(A46,'Monthly EE List'!A:D,4,0)&amp;" "&amp;VLOOKUP(A46,'Monthly EE List'!A:D,3,0)</f>
        <v>SCOTT THORNTON</v>
      </c>
      <c r="C46" s="38" t="s">
        <v>2703</v>
      </c>
      <c r="D46" s="4" t="s">
        <v>599</v>
      </c>
      <c r="E46" t="s">
        <v>3747</v>
      </c>
      <c r="F46" t="s">
        <v>3747</v>
      </c>
      <c r="G46" s="4" t="s">
        <v>2715</v>
      </c>
      <c r="H46" s="4" t="str">
        <f>VLOOKUP(A46,'Monthly EE List'!A:G,7,0)</f>
        <v>A</v>
      </c>
      <c r="I46" t="s">
        <v>211</v>
      </c>
      <c r="J46" s="5">
        <v>42614</v>
      </c>
      <c r="K46" t="s">
        <v>3775</v>
      </c>
      <c r="L46" s="4" t="str">
        <f t="shared" ca="1" si="0"/>
        <v>X</v>
      </c>
      <c r="M46" s="6" t="str">
        <f>IF(VLOOKUP($C$4,Working!$A$23:$L$52,Working!$F$21,0)="Y",TEXT($C$6,"YYYYMM")&amp;"_"&amp;$E46&amp;"_"&amp;Working!$B$11&amp;Working!$B$12,"")</f>
        <v>201703_NWFLD_Top15.xlsx</v>
      </c>
      <c r="N46" s="6" t="str">
        <f>IF(VLOOKUP($C$4,Working!$A$23:$L$52,Working!$I$21,0)="Y",TEXT($C$6,"YYYYMM")&amp;"_"&amp;$E46&amp;"_"&amp;Working!$B$13&amp;Working!$B$14,"")</f>
        <v/>
      </c>
      <c r="O46" s="4"/>
      <c r="P46" s="4"/>
      <c r="Q46" s="41"/>
      <c r="R46" s="41"/>
      <c r="S46" s="41"/>
      <c r="T46" s="41"/>
      <c r="U46" s="4"/>
      <c r="V46" s="4"/>
      <c r="W46" s="4" t="s">
        <v>228</v>
      </c>
      <c r="AS46"/>
    </row>
    <row r="47" spans="1:45" x14ac:dyDescent="0.3">
      <c r="A47">
        <v>990</v>
      </c>
      <c r="B47" s="37" t="str">
        <f>VLOOKUP(A47,'Monthly EE List'!A:D,4,0)&amp;" "&amp;VLOOKUP(A47,'Monthly EE List'!A:D,3,0)</f>
        <v>SHIRLEY YOUNG</v>
      </c>
      <c r="C47" s="38" t="s">
        <v>366</v>
      </c>
      <c r="D47" s="4" t="s">
        <v>599</v>
      </c>
      <c r="E47" t="s">
        <v>64</v>
      </c>
      <c r="F47" t="s">
        <v>215</v>
      </c>
      <c r="G47" s="4" t="s">
        <v>3008</v>
      </c>
      <c r="H47" s="4" t="str">
        <f>VLOOKUP(A47,'Monthly EE List'!A:G,7,0)</f>
        <v>A</v>
      </c>
      <c r="I47" t="s">
        <v>212</v>
      </c>
      <c r="J47" s="5">
        <v>40360</v>
      </c>
      <c r="K47" t="s">
        <v>144</v>
      </c>
      <c r="L47" s="4" t="str">
        <f t="shared" ca="1" si="0"/>
        <v/>
      </c>
      <c r="M47" s="6" t="str">
        <f>IF(VLOOKUP($C$4,Working!$A$23:$L$52,Working!$F$21,0)="Y",TEXT($C$6,"YYYYMM")&amp;"_"&amp;$E47&amp;"_"&amp;Working!$B$11&amp;Working!$B$12,"")</f>
        <v>201703_CZ1EE_Top15.xlsx</v>
      </c>
      <c r="N47" s="6" t="str">
        <f>IF(VLOOKUP($C$4,Working!$A$23:$L$52,Working!$I$21,0)="Y",TEXT($C$6,"YYYYMM")&amp;"_"&amp;$E47&amp;"_"&amp;Working!$B$13&amp;Working!$B$14,"")</f>
        <v/>
      </c>
      <c r="O47" s="4" t="s">
        <v>228</v>
      </c>
      <c r="P47" s="4" t="s">
        <v>228</v>
      </c>
      <c r="Q47" s="41"/>
      <c r="R47" s="41"/>
      <c r="S47" s="41"/>
      <c r="T47" s="41"/>
      <c r="U47" s="41" t="s">
        <v>228</v>
      </c>
      <c r="V47" s="54"/>
      <c r="AS47"/>
    </row>
    <row r="48" spans="1:45" x14ac:dyDescent="0.3">
      <c r="A48">
        <v>990</v>
      </c>
      <c r="B48" s="37" t="str">
        <f>VLOOKUP(A48,'Monthly EE List'!A:D,4,0)&amp;" "&amp;VLOOKUP(A48,'Monthly EE List'!A:D,3,0)</f>
        <v>SHIRLEY YOUNG</v>
      </c>
      <c r="C48" s="38" t="s">
        <v>366</v>
      </c>
      <c r="D48" s="4" t="s">
        <v>599</v>
      </c>
      <c r="E48" t="s">
        <v>549</v>
      </c>
      <c r="F48" t="s">
        <v>215</v>
      </c>
      <c r="G48" s="4" t="s">
        <v>3008</v>
      </c>
      <c r="H48" s="4" t="str">
        <f>VLOOKUP(A48,'Monthly EE List'!A:G,7,0)</f>
        <v>A</v>
      </c>
      <c r="I48" t="s">
        <v>211</v>
      </c>
      <c r="J48" s="5">
        <v>40605</v>
      </c>
      <c r="K48" t="s">
        <v>2615</v>
      </c>
      <c r="L48" s="4" t="str">
        <f t="shared" ca="1" si="0"/>
        <v/>
      </c>
      <c r="M48" s="6" t="str">
        <f>IF(VLOOKUP($C$4,Working!$A$23:$L$52,Working!$F$21,0)="Y",TEXT($C$6,"YYYYMM")&amp;"_"&amp;$E48&amp;"_"&amp;Working!$B$11&amp;Working!$B$12,"")</f>
        <v>201703_CZ1E2_Top15.xlsx</v>
      </c>
      <c r="N48" s="6" t="str">
        <f>IF(VLOOKUP($C$4,Working!$A$23:$L$52,Working!$I$21,0)="Y",TEXT($C$6,"YYYYMM")&amp;"_"&amp;$E48&amp;"_"&amp;Working!$B$13&amp;Working!$B$14,"")</f>
        <v/>
      </c>
      <c r="O48" s="4" t="s">
        <v>228</v>
      </c>
      <c r="P48" s="54"/>
      <c r="Q48" s="41"/>
      <c r="R48" s="41"/>
      <c r="S48" s="41"/>
      <c r="T48" s="41"/>
      <c r="U48" s="41" t="s">
        <v>228</v>
      </c>
      <c r="V48" s="54"/>
      <c r="AS48"/>
    </row>
    <row r="49" spans="1:45" x14ac:dyDescent="0.3">
      <c r="A49">
        <v>997</v>
      </c>
      <c r="B49" s="37" t="str">
        <f>VLOOKUP(A49,'Monthly EE List'!A:D,4,0)&amp;" "&amp;VLOOKUP(A49,'Monthly EE List'!A:D,3,0)</f>
        <v>TIM HENNESSEY</v>
      </c>
      <c r="C49" s="38" t="s">
        <v>367</v>
      </c>
      <c r="D49" s="4" t="s">
        <v>599</v>
      </c>
      <c r="E49" t="s">
        <v>65</v>
      </c>
      <c r="F49" t="s">
        <v>220</v>
      </c>
      <c r="G49" s="4" t="s">
        <v>142</v>
      </c>
      <c r="H49" s="4" t="str">
        <f>VLOOKUP(A49,'Monthly EE List'!A:G,7,0)</f>
        <v>A</v>
      </c>
      <c r="J49" s="5"/>
      <c r="L49" s="4" t="str">
        <f t="shared" ca="1" si="0"/>
        <v/>
      </c>
      <c r="M49" s="6" t="str">
        <f>IF(VLOOKUP($C$4,Working!$A$23:$L$52,Working!$F$21,0)="Y",TEXT($C$6,"YYYYMM")&amp;"_"&amp;$E49&amp;"_"&amp;Working!$B$11&amp;Working!$B$12,"")</f>
        <v>201703_AZ1EK_Top15.xlsx</v>
      </c>
      <c r="N49" s="6" t="str">
        <f>IF(VLOOKUP($C$4,Working!$A$23:$L$52,Working!$I$21,0)="Y",TEXT($C$6,"YYYYMM")&amp;"_"&amp;$E49&amp;"_"&amp;Working!$B$13&amp;Working!$B$14,"")</f>
        <v/>
      </c>
      <c r="O49" s="4" t="s">
        <v>228</v>
      </c>
      <c r="P49" s="4" t="s">
        <v>228</v>
      </c>
      <c r="Q49" s="41"/>
      <c r="R49" s="41"/>
      <c r="S49" s="41"/>
      <c r="T49" s="41"/>
      <c r="U49" s="41" t="s">
        <v>228</v>
      </c>
      <c r="V49" s="54"/>
      <c r="AS49"/>
    </row>
    <row r="50" spans="1:45" x14ac:dyDescent="0.3">
      <c r="A50">
        <v>1034</v>
      </c>
      <c r="B50" s="37" t="str">
        <f>VLOOKUP(A50,'Monthly EE List'!A:D,4,0)&amp;" "&amp;VLOOKUP(A50,'Monthly EE List'!A:D,3,0)</f>
        <v>CHRISTINE WARD</v>
      </c>
      <c r="C50" s="38" t="s">
        <v>368</v>
      </c>
      <c r="D50" s="4" t="s">
        <v>599</v>
      </c>
      <c r="E50" t="s">
        <v>66</v>
      </c>
      <c r="F50" t="s">
        <v>220</v>
      </c>
      <c r="G50" s="4" t="s">
        <v>142</v>
      </c>
      <c r="H50" s="4" t="str">
        <f>VLOOKUP(A50,'Monthly EE List'!A:G,7,0)</f>
        <v>A</v>
      </c>
      <c r="J50" s="5"/>
      <c r="L50" s="4" t="str">
        <f t="shared" ca="1" si="0"/>
        <v/>
      </c>
      <c r="M50" s="6" t="str">
        <f>IF(VLOOKUP($C$4,Working!$A$23:$L$52,Working!$F$21,0)="Y",TEXT($C$6,"YYYYMM")&amp;"_"&amp;$E50&amp;"_"&amp;Working!$B$11&amp;Working!$B$12,"")</f>
        <v>201703_AZ1FB_Top15.xlsx</v>
      </c>
      <c r="N50" s="6" t="str">
        <f>IF(VLOOKUP($C$4,Working!$A$23:$L$52,Working!$I$21,0)="Y",TEXT($C$6,"YYYYMM")&amp;"_"&amp;$E50&amp;"_"&amp;Working!$B$13&amp;Working!$B$14,"")</f>
        <v/>
      </c>
      <c r="O50" s="4" t="s">
        <v>228</v>
      </c>
      <c r="P50" s="4" t="s">
        <v>228</v>
      </c>
      <c r="Q50" s="41"/>
      <c r="R50" s="41"/>
      <c r="S50" s="41"/>
      <c r="T50" s="41"/>
      <c r="U50" s="41" t="s">
        <v>228</v>
      </c>
      <c r="V50" s="54"/>
      <c r="AS50"/>
    </row>
    <row r="51" spans="1:45" x14ac:dyDescent="0.3">
      <c r="A51">
        <v>1059</v>
      </c>
      <c r="B51" s="37" t="str">
        <f>VLOOKUP(A51,'Monthly EE List'!A:D,4,0)&amp;" "&amp;VLOOKUP(A51,'Monthly EE List'!A:D,3,0)</f>
        <v>MELISSA DE_LORENZI</v>
      </c>
      <c r="C51" s="38" t="s">
        <v>369</v>
      </c>
      <c r="D51" s="4" t="s">
        <v>599</v>
      </c>
      <c r="E51" t="s">
        <v>67</v>
      </c>
      <c r="F51" t="s">
        <v>215</v>
      </c>
      <c r="G51" s="4" t="s">
        <v>142</v>
      </c>
      <c r="H51" s="4" t="str">
        <f>VLOOKUP(A51,'Monthly EE List'!A:G,7,0)</f>
        <v>A</v>
      </c>
      <c r="J51" s="5"/>
      <c r="L51" s="4" t="str">
        <f t="shared" ca="1" si="0"/>
        <v/>
      </c>
      <c r="M51" s="6" t="str">
        <f>IF(VLOOKUP($C$4,Working!$A$23:$L$52,Working!$F$21,0)="Y",TEXT($C$6,"YYYYMM")&amp;"_"&amp;$E51&amp;"_"&amp;Working!$B$11&amp;Working!$B$12,"")</f>
        <v>201703_CZ1FP_Top15.xlsx</v>
      </c>
      <c r="N51" s="6" t="str">
        <f>IF(VLOOKUP($C$4,Working!$A$23:$L$52,Working!$I$21,0)="Y",TEXT($C$6,"YYYYMM")&amp;"_"&amp;$E51&amp;"_"&amp;Working!$B$13&amp;Working!$B$14,"")</f>
        <v/>
      </c>
      <c r="O51" s="4" t="s">
        <v>228</v>
      </c>
      <c r="P51" s="4" t="s">
        <v>228</v>
      </c>
      <c r="Q51" s="41"/>
      <c r="R51" s="41"/>
      <c r="S51" s="41"/>
      <c r="T51" s="41"/>
      <c r="U51" s="41" t="s">
        <v>228</v>
      </c>
      <c r="V51" s="54"/>
      <c r="AS51"/>
    </row>
    <row r="52" spans="1:45" x14ac:dyDescent="0.3">
      <c r="A52">
        <v>1060</v>
      </c>
      <c r="B52" s="37" t="str">
        <f>VLOOKUP(A52,'Monthly EE List'!A:D,4,0)&amp;" "&amp;VLOOKUP(A52,'Monthly EE List'!A:D,3,0)</f>
        <v>MARYSE TURGEON</v>
      </c>
      <c r="C52" s="38" t="s">
        <v>370</v>
      </c>
      <c r="D52" s="4" t="s">
        <v>599</v>
      </c>
      <c r="E52" t="s">
        <v>68</v>
      </c>
      <c r="F52" t="s">
        <v>219</v>
      </c>
      <c r="G52" s="4" t="s">
        <v>142</v>
      </c>
      <c r="H52" s="4" t="str">
        <f>VLOOKUP(A52,'Monthly EE List'!A:G,7,0)</f>
        <v>A</v>
      </c>
      <c r="J52" s="5"/>
      <c r="L52" s="4" t="str">
        <f t="shared" ca="1" si="0"/>
        <v/>
      </c>
      <c r="M52" s="6" t="str">
        <f>IF(VLOOKUP($C$4,Working!$A$23:$L$52,Working!$F$21,0)="Y",TEXT($C$6,"YYYYMM")&amp;"_"&amp;$E52&amp;"_"&amp;Working!$B$11&amp;Working!$B$12,"")</f>
        <v>201703_QZ1FT_Top15.xlsx</v>
      </c>
      <c r="N52" s="6" t="str">
        <f>IF(VLOOKUP($C$4,Working!$A$23:$L$52,Working!$I$21,0)="Y",TEXT($C$6,"YYYYMM")&amp;"_"&amp;$E52&amp;"_"&amp;Working!$B$13&amp;Working!$B$14,"")</f>
        <v/>
      </c>
      <c r="O52" s="4" t="s">
        <v>228</v>
      </c>
      <c r="P52" s="4" t="s">
        <v>228</v>
      </c>
      <c r="Q52" s="41"/>
      <c r="R52" s="41"/>
      <c r="S52" s="41"/>
      <c r="T52" s="41"/>
      <c r="U52" s="41" t="s">
        <v>228</v>
      </c>
      <c r="V52" s="4" t="s">
        <v>228</v>
      </c>
      <c r="AS52"/>
    </row>
    <row r="53" spans="1:45" x14ac:dyDescent="0.3">
      <c r="A53">
        <v>1061</v>
      </c>
      <c r="B53" s="37" t="str">
        <f>VLOOKUP(A53,'Monthly EE List'!A:D,4,0)&amp;" "&amp;VLOOKUP(A53,'Monthly EE List'!A:D,3,0)</f>
        <v>ALAIN MARANDA</v>
      </c>
      <c r="C53" s="38" t="s">
        <v>371</v>
      </c>
      <c r="D53" s="4" t="s">
        <v>599</v>
      </c>
      <c r="E53" t="s">
        <v>69</v>
      </c>
      <c r="F53" t="s">
        <v>219</v>
      </c>
      <c r="G53" s="4" t="s">
        <v>3007</v>
      </c>
      <c r="H53" s="4" t="str">
        <f>VLOOKUP(A53,'Monthly EE List'!A:G,7,0)</f>
        <v>A</v>
      </c>
      <c r="J53" s="5"/>
      <c r="K53" t="s">
        <v>143</v>
      </c>
      <c r="L53" s="4" t="str">
        <f t="shared" ca="1" si="0"/>
        <v/>
      </c>
      <c r="M53" s="6" t="str">
        <f>IF(VLOOKUP($C$4,Working!$A$23:$L$52,Working!$F$21,0)="Y",TEXT($C$6,"YYYYMM")&amp;"_"&amp;$E53&amp;"_"&amp;Working!$B$11&amp;Working!$B$12,"")</f>
        <v>201703_QZ1FS_Top15.xlsx</v>
      </c>
      <c r="N53" s="6" t="str">
        <f>IF(VLOOKUP($C$4,Working!$A$23:$L$52,Working!$I$21,0)="Y",TEXT($C$6,"YYYYMM")&amp;"_"&amp;$E53&amp;"_"&amp;Working!$B$13&amp;Working!$B$14,"")</f>
        <v/>
      </c>
      <c r="O53" s="4" t="s">
        <v>228</v>
      </c>
      <c r="P53" s="4" t="s">
        <v>228</v>
      </c>
      <c r="Q53" s="41"/>
      <c r="R53" s="41"/>
      <c r="S53" s="41"/>
      <c r="T53" s="41"/>
      <c r="U53" s="41" t="s">
        <v>228</v>
      </c>
      <c r="V53" s="4" t="s">
        <v>228</v>
      </c>
      <c r="AS53"/>
    </row>
    <row r="54" spans="1:45" x14ac:dyDescent="0.3">
      <c r="A54" s="44">
        <v>1061</v>
      </c>
      <c r="B54" s="37" t="str">
        <f>VLOOKUP(A54,'Monthly EE List'!A:D,4,0)&amp;" "&amp;VLOOKUP(A54,'Monthly EE List'!A:D,3,0)</f>
        <v>ALAIN MARANDA</v>
      </c>
      <c r="C54" s="38" t="s">
        <v>371</v>
      </c>
      <c r="D54" s="4" t="s">
        <v>599</v>
      </c>
      <c r="E54" t="s">
        <v>219</v>
      </c>
      <c r="F54" t="s">
        <v>219</v>
      </c>
      <c r="G54" s="4" t="s">
        <v>3007</v>
      </c>
      <c r="H54" s="4" t="str">
        <f>VLOOKUP(A54,'Monthly EE List'!A:G,7,0)</f>
        <v>A</v>
      </c>
      <c r="I54" t="s">
        <v>211</v>
      </c>
      <c r="J54" s="5">
        <v>41191</v>
      </c>
      <c r="K54" t="s">
        <v>2716</v>
      </c>
      <c r="L54" s="4" t="str">
        <f t="shared" ca="1" si="0"/>
        <v>X</v>
      </c>
      <c r="M54" s="6" t="str">
        <f>IF(VLOOKUP($C$4,Working!$A$23:$L$52,Working!$F$21,0)="Y",TEXT($C$6,"YYYYMM")&amp;"_"&amp;$E54&amp;"_"&amp;Working!$B$11&amp;Working!$B$12,"")</f>
        <v>201703_QUEBC_Top15.xlsx</v>
      </c>
      <c r="N54" s="6" t="str">
        <f>IF(VLOOKUP($C$4,Working!$A$23:$L$52,Working!$I$21,0)="Y",TEXT($C$6,"YYYYMM")&amp;"_"&amp;$E54&amp;"_"&amp;Working!$B$13&amp;Working!$B$14,"")</f>
        <v/>
      </c>
      <c r="O54" s="62"/>
      <c r="P54" s="59"/>
      <c r="Q54" s="41"/>
      <c r="R54" s="41"/>
      <c r="S54" s="41"/>
      <c r="T54" s="41"/>
      <c r="U54" s="54"/>
      <c r="V54" s="54"/>
      <c r="W54" s="4" t="s">
        <v>228</v>
      </c>
      <c r="AS54"/>
    </row>
    <row r="55" spans="1:45" x14ac:dyDescent="0.3">
      <c r="A55">
        <v>1062</v>
      </c>
      <c r="B55" s="37" t="str">
        <f>VLOOKUP(A55,'Monthly EE List'!A:D,4,0)&amp;" "&amp;VLOOKUP(A55,'Monthly EE List'!A:D,3,0)</f>
        <v>JACQUES GOULET</v>
      </c>
      <c r="C55" s="38" t="s">
        <v>372</v>
      </c>
      <c r="D55" s="4" t="s">
        <v>599</v>
      </c>
      <c r="E55" t="s">
        <v>70</v>
      </c>
      <c r="F55" t="s">
        <v>219</v>
      </c>
      <c r="G55" s="4" t="s">
        <v>142</v>
      </c>
      <c r="H55" s="4" t="str">
        <f>VLOOKUP(A55,'Monthly EE List'!A:G,7,0)</f>
        <v>A</v>
      </c>
      <c r="J55" s="5"/>
      <c r="L55" s="4" t="str">
        <f t="shared" ca="1" si="0"/>
        <v/>
      </c>
      <c r="M55" s="6" t="str">
        <f>IF(VLOOKUP($C$4,Working!$A$23:$L$52,Working!$F$21,0)="Y",TEXT($C$6,"YYYYMM")&amp;"_"&amp;$E55&amp;"_"&amp;Working!$B$11&amp;Working!$B$12,"")</f>
        <v>201703_QZ1FR_Top15.xlsx</v>
      </c>
      <c r="N55" s="6" t="str">
        <f>IF(VLOOKUP($C$4,Working!$A$23:$L$52,Working!$I$21,0)="Y",TEXT($C$6,"YYYYMM")&amp;"_"&amp;$E55&amp;"_"&amp;Working!$B$13&amp;Working!$B$14,"")</f>
        <v/>
      </c>
      <c r="O55" s="4" t="s">
        <v>228</v>
      </c>
      <c r="P55" s="4" t="s">
        <v>228</v>
      </c>
      <c r="Q55" s="41"/>
      <c r="R55" s="41"/>
      <c r="S55" s="41"/>
      <c r="T55" s="41"/>
      <c r="U55" s="41" t="s">
        <v>228</v>
      </c>
      <c r="V55" s="4" t="s">
        <v>228</v>
      </c>
      <c r="AS55"/>
    </row>
    <row r="56" spans="1:45" x14ac:dyDescent="0.3">
      <c r="A56">
        <v>1063</v>
      </c>
      <c r="B56" s="37" t="str">
        <f>VLOOKUP(A56,'Monthly EE List'!A:D,4,0)&amp;" "&amp;VLOOKUP(A56,'Monthly EE List'!A:D,3,0)</f>
        <v>ROCCO TUMMILLO</v>
      </c>
      <c r="C56" s="38" t="s">
        <v>315</v>
      </c>
      <c r="D56" s="4" t="s">
        <v>599</v>
      </c>
      <c r="E56">
        <v>20404</v>
      </c>
      <c r="F56" t="s">
        <v>216</v>
      </c>
      <c r="G56" s="4" t="s">
        <v>244</v>
      </c>
      <c r="H56" s="4" t="str">
        <f>VLOOKUP(A56,'Monthly EE List'!A:G,7,0)</f>
        <v>A</v>
      </c>
      <c r="I56" t="s">
        <v>212</v>
      </c>
      <c r="J56" s="5">
        <v>42590</v>
      </c>
      <c r="K56" t="s">
        <v>571</v>
      </c>
      <c r="L56" s="4" t="str">
        <f t="shared" ca="1" si="0"/>
        <v/>
      </c>
      <c r="M56" s="6" t="str">
        <f>IF(VLOOKUP($C$4,Working!$A$23:$L$52,Working!$F$21,0)="Y",TEXT($C$6,"YYYYMM")&amp;"_"&amp;$E56&amp;"_"&amp;Working!$B$11&amp;Working!$B$12,"")</f>
        <v>201703_20404_Top15.xlsx</v>
      </c>
      <c r="N56" s="6" t="str">
        <f>IF(VLOOKUP($C$4,Working!$A$23:$L$52,Working!$I$21,0)="Y",TEXT($C$6,"YYYYMM")&amp;"_"&amp;$E56&amp;"_"&amp;Working!$B$13&amp;Working!$B$14,"")</f>
        <v/>
      </c>
      <c r="O56" s="62"/>
      <c r="P56" s="59"/>
      <c r="Q56" s="41" t="s">
        <v>228</v>
      </c>
      <c r="R56" s="41"/>
      <c r="S56" s="41"/>
      <c r="T56" s="41"/>
      <c r="U56" s="41"/>
      <c r="V56" s="4"/>
      <c r="AS56"/>
    </row>
    <row r="57" spans="1:45" x14ac:dyDescent="0.3">
      <c r="A57">
        <v>1088</v>
      </c>
      <c r="B57" s="37" t="str">
        <f>VLOOKUP(A57,'Monthly EE List'!A:D,4,0)&amp;" "&amp;VLOOKUP(A57,'Monthly EE List'!A:D,3,0)</f>
        <v>ELISABETE PINHEIRO</v>
      </c>
      <c r="C57" s="38" t="s">
        <v>373</v>
      </c>
      <c r="D57" s="4" t="s">
        <v>599</v>
      </c>
      <c r="E57" t="s">
        <v>71</v>
      </c>
      <c r="F57" t="s">
        <v>217</v>
      </c>
      <c r="G57" s="4" t="s">
        <v>142</v>
      </c>
      <c r="H57" s="4" t="str">
        <f>VLOOKUP(A57,'Monthly EE List'!A:G,7,0)</f>
        <v>A</v>
      </c>
      <c r="I57" t="s">
        <v>212</v>
      </c>
      <c r="J57" s="5">
        <v>40792</v>
      </c>
      <c r="K57" t="s">
        <v>571</v>
      </c>
      <c r="L57" s="4" t="str">
        <f t="shared" ca="1" si="0"/>
        <v/>
      </c>
      <c r="M57" s="6" t="str">
        <f>IF(VLOOKUP($C$4,Working!$A$23:$L$52,Working!$F$21,0)="Y",TEXT($C$6,"YYYYMM")&amp;"_"&amp;$E57&amp;"_"&amp;Working!$B$11&amp;Working!$B$12,"")</f>
        <v>201703_QZ1GO_Top15.xlsx</v>
      </c>
      <c r="N57" s="6" t="str">
        <f>IF(VLOOKUP($C$4,Working!$A$23:$L$52,Working!$I$21,0)="Y",TEXT($C$6,"YYYYMM")&amp;"_"&amp;$E57&amp;"_"&amp;Working!$B$13&amp;Working!$B$14,"")</f>
        <v/>
      </c>
      <c r="O57" s="4" t="s">
        <v>228</v>
      </c>
      <c r="P57" s="4" t="s">
        <v>228</v>
      </c>
      <c r="Q57" s="41"/>
      <c r="R57" s="41"/>
      <c r="S57" s="41"/>
      <c r="T57" s="41"/>
      <c r="U57" s="41" t="s">
        <v>228</v>
      </c>
      <c r="V57" s="4" t="s">
        <v>228</v>
      </c>
      <c r="AS57"/>
    </row>
    <row r="58" spans="1:45" x14ac:dyDescent="0.3">
      <c r="A58">
        <v>1133</v>
      </c>
      <c r="B58" s="37" t="str">
        <f>VLOOKUP(A58,'Monthly EE List'!A:D,4,0)&amp;" "&amp;VLOOKUP(A58,'Monthly EE List'!A:D,3,0)</f>
        <v>DANIEL GAUVIN</v>
      </c>
      <c r="C58" s="38" t="s">
        <v>259</v>
      </c>
      <c r="D58" s="4" t="s">
        <v>599</v>
      </c>
      <c r="E58">
        <v>41803</v>
      </c>
      <c r="F58" t="s">
        <v>219</v>
      </c>
      <c r="G58" s="4" t="s">
        <v>244</v>
      </c>
      <c r="H58" s="4" t="str">
        <f>VLOOKUP(A58,'Monthly EE List'!A:G,7,0)</f>
        <v>A</v>
      </c>
      <c r="J58" s="5"/>
      <c r="L58" s="4" t="str">
        <f t="shared" ca="1" si="0"/>
        <v/>
      </c>
      <c r="M58" s="6" t="str">
        <f>IF(VLOOKUP($C$4,Working!$A$23:$L$52,Working!$F$21,0)="Y",TEXT($C$6,"YYYYMM")&amp;"_"&amp;$E58&amp;"_"&amp;Working!$B$11&amp;Working!$B$12,"")</f>
        <v>201703_41803_Top15.xlsx</v>
      </c>
      <c r="N58" s="6" t="str">
        <f>IF(VLOOKUP($C$4,Working!$A$23:$L$52,Working!$I$21,0)="Y",TEXT($C$6,"YYYYMM")&amp;"_"&amp;$E58&amp;"_"&amp;Working!$B$13&amp;Working!$B$14,"")</f>
        <v/>
      </c>
      <c r="O58" s="4"/>
      <c r="P58" s="4"/>
      <c r="Q58" s="41" t="s">
        <v>228</v>
      </c>
      <c r="R58" s="41"/>
      <c r="S58" s="41"/>
      <c r="T58" s="41"/>
      <c r="U58" s="41"/>
      <c r="V58" s="4"/>
      <c r="AS58"/>
    </row>
    <row r="59" spans="1:45" x14ac:dyDescent="0.3">
      <c r="A59">
        <v>1143</v>
      </c>
      <c r="B59" s="37" t="str">
        <f>VLOOKUP(A59,'Monthly EE List'!A:D,4,0)&amp;" "&amp;VLOOKUP(A59,'Monthly EE List'!A:D,3,0)</f>
        <v>STEPHANE BELANGER</v>
      </c>
      <c r="C59" s="38" t="s">
        <v>325</v>
      </c>
      <c r="D59" s="4" t="s">
        <v>599</v>
      </c>
      <c r="E59">
        <v>41801</v>
      </c>
      <c r="F59" t="s">
        <v>219</v>
      </c>
      <c r="G59" s="4" t="s">
        <v>244</v>
      </c>
      <c r="H59" s="4" t="str">
        <f>VLOOKUP(A59,'Monthly EE List'!A:G,7,0)</f>
        <v>A</v>
      </c>
      <c r="J59" s="5"/>
      <c r="L59" s="4" t="str">
        <f t="shared" ca="1" si="0"/>
        <v/>
      </c>
      <c r="M59" s="6" t="str">
        <f>IF(VLOOKUP($C$4,Working!$A$23:$L$52,Working!$F$21,0)="Y",TEXT($C$6,"YYYYMM")&amp;"_"&amp;$E59&amp;"_"&amp;Working!$B$11&amp;Working!$B$12,"")</f>
        <v>201703_41801_Top15.xlsx</v>
      </c>
      <c r="N59" s="6" t="str">
        <f>IF(VLOOKUP($C$4,Working!$A$23:$L$52,Working!$I$21,0)="Y",TEXT($C$6,"YYYYMM")&amp;"_"&amp;$E59&amp;"_"&amp;Working!$B$13&amp;Working!$B$14,"")</f>
        <v/>
      </c>
      <c r="O59" s="4"/>
      <c r="P59" s="4"/>
      <c r="Q59" s="41" t="s">
        <v>228</v>
      </c>
      <c r="R59" s="41"/>
      <c r="S59" s="41"/>
      <c r="T59" s="41"/>
      <c r="U59" s="41"/>
      <c r="V59" s="4"/>
      <c r="AS59"/>
    </row>
    <row r="60" spans="1:45" x14ac:dyDescent="0.3">
      <c r="A60">
        <v>1186</v>
      </c>
      <c r="B60" s="37" t="str">
        <f>VLOOKUP(A60,'Monthly EE List'!A:D,4,0)&amp;" "&amp;VLOOKUP(A60,'Monthly EE List'!A:D,3,0)</f>
        <v>TERRANCE MCHUGH</v>
      </c>
      <c r="C60" s="38" t="s">
        <v>374</v>
      </c>
      <c r="D60" s="4" t="s">
        <v>599</v>
      </c>
      <c r="E60" t="s">
        <v>72</v>
      </c>
      <c r="F60" t="s">
        <v>220</v>
      </c>
      <c r="G60" s="4" t="s">
        <v>142</v>
      </c>
      <c r="H60" s="4" t="str">
        <f>VLOOKUP(A60,'Monthly EE List'!A:G,7,0)</f>
        <v>A</v>
      </c>
      <c r="J60" s="5"/>
      <c r="L60" s="4" t="str">
        <f t="shared" ca="1" si="0"/>
        <v/>
      </c>
      <c r="M60" s="6" t="str">
        <f>IF(VLOOKUP($C$4,Working!$A$23:$L$52,Working!$F$21,0)="Y",TEXT($C$6,"YYYYMM")&amp;"_"&amp;$E60&amp;"_"&amp;Working!$B$11&amp;Working!$B$12,"")</f>
        <v>201703_AZ1KL_Top15.xlsx</v>
      </c>
      <c r="N60" s="6" t="str">
        <f>IF(VLOOKUP($C$4,Working!$A$23:$L$52,Working!$I$21,0)="Y",TEXT($C$6,"YYYYMM")&amp;"_"&amp;$E60&amp;"_"&amp;Working!$B$13&amp;Working!$B$14,"")</f>
        <v/>
      </c>
      <c r="O60" s="4" t="s">
        <v>228</v>
      </c>
      <c r="P60" s="4" t="s">
        <v>228</v>
      </c>
      <c r="Q60" s="41"/>
      <c r="R60" s="41"/>
      <c r="S60" s="41"/>
      <c r="T60" s="41"/>
      <c r="U60" s="41" t="s">
        <v>228</v>
      </c>
      <c r="V60" s="54"/>
      <c r="AS60"/>
    </row>
    <row r="61" spans="1:45" x14ac:dyDescent="0.3">
      <c r="A61">
        <v>1187</v>
      </c>
      <c r="B61" s="37" t="str">
        <f>VLOOKUP(A61,'Monthly EE List'!A:D,4,0)&amp;" "&amp;VLOOKUP(A61,'Monthly EE List'!A:D,3,0)</f>
        <v>MANON OUIMET</v>
      </c>
      <c r="C61" s="38" t="s">
        <v>375</v>
      </c>
      <c r="D61" s="4" t="s">
        <v>599</v>
      </c>
      <c r="E61" t="s">
        <v>73</v>
      </c>
      <c r="F61" t="s">
        <v>217</v>
      </c>
      <c r="G61" s="4" t="s">
        <v>142</v>
      </c>
      <c r="H61" s="4" t="str">
        <f>VLOOKUP(A61,'Monthly EE List'!A:G,7,0)</f>
        <v>A</v>
      </c>
      <c r="I61" t="s">
        <v>211</v>
      </c>
      <c r="J61" s="5">
        <v>41708</v>
      </c>
      <c r="K61" t="s">
        <v>147</v>
      </c>
      <c r="L61" s="4" t="str">
        <f t="shared" ca="1" si="0"/>
        <v/>
      </c>
      <c r="M61" s="6" t="str">
        <f>IF(VLOOKUP($C$4,Working!$A$23:$L$52,Working!$F$21,0)="Y",TEXT($C$6,"YYYYMM")&amp;"_"&amp;$E61&amp;"_"&amp;Working!$B$11&amp;Working!$B$12,"")</f>
        <v>201703_QZ1KK_Top15.xlsx</v>
      </c>
      <c r="N61" s="6" t="str">
        <f>IF(VLOOKUP($C$4,Working!$A$23:$L$52,Working!$I$21,0)="Y",TEXT($C$6,"YYYYMM")&amp;"_"&amp;$E61&amp;"_"&amp;Working!$B$13&amp;Working!$B$14,"")</f>
        <v/>
      </c>
      <c r="O61" s="4" t="s">
        <v>228</v>
      </c>
      <c r="P61" s="4" t="s">
        <v>228</v>
      </c>
      <c r="Q61" s="41"/>
      <c r="R61" s="41"/>
      <c r="S61" s="41"/>
      <c r="T61" s="41"/>
      <c r="U61" s="41" t="s">
        <v>228</v>
      </c>
      <c r="V61" s="4" t="s">
        <v>228</v>
      </c>
      <c r="AS61"/>
    </row>
    <row r="62" spans="1:45" x14ac:dyDescent="0.3">
      <c r="A62">
        <v>1193</v>
      </c>
      <c r="B62" s="37" t="str">
        <f>VLOOKUP(A62,'Monthly EE List'!A:D,4,0)&amp;" "&amp;VLOOKUP(A62,'Monthly EE List'!A:D,3,0)</f>
        <v>FRANCOIS BEAUCHAMP</v>
      </c>
      <c r="C62" s="38" t="s">
        <v>2371</v>
      </c>
      <c r="D62" s="4" t="s">
        <v>599</v>
      </c>
      <c r="E62">
        <v>51409</v>
      </c>
      <c r="F62" t="s">
        <v>217</v>
      </c>
      <c r="G62" s="4" t="s">
        <v>244</v>
      </c>
      <c r="H62" s="4" t="str">
        <f>VLOOKUP(A62,'Monthly EE List'!A:G,7,0)</f>
        <v>A</v>
      </c>
      <c r="I62" t="s">
        <v>212</v>
      </c>
      <c r="J62" s="5">
        <v>42545</v>
      </c>
      <c r="K62" t="s">
        <v>571</v>
      </c>
      <c r="L62" s="4" t="str">
        <f t="shared" ca="1" si="0"/>
        <v/>
      </c>
      <c r="M62" s="6" t="str">
        <f>IF(VLOOKUP($C$4,Working!$A$23:$L$52,Working!$F$21,0)="Y",TEXT($C$6,"YYYYMM")&amp;"_"&amp;$E62&amp;"_"&amp;Working!$B$11&amp;Working!$B$12,"")</f>
        <v>201703_51409_Top15.xlsx</v>
      </c>
      <c r="N62" s="6" t="str">
        <f>IF(VLOOKUP($C$4,Working!$A$23:$L$52,Working!$I$21,0)="Y",TEXT($C$6,"YYYYMM")&amp;"_"&amp;$E62&amp;"_"&amp;Working!$B$13&amp;Working!$B$14,"")</f>
        <v/>
      </c>
      <c r="O62" s="4"/>
      <c r="P62" s="4"/>
      <c r="Q62" s="41" t="s">
        <v>228</v>
      </c>
      <c r="R62" s="41"/>
      <c r="S62" s="41"/>
      <c r="T62" s="41"/>
      <c r="U62" s="41"/>
      <c r="V62" s="4"/>
      <c r="AS62"/>
    </row>
    <row r="63" spans="1:45" x14ac:dyDescent="0.3">
      <c r="A63">
        <v>1237</v>
      </c>
      <c r="B63" s="37" t="str">
        <f>VLOOKUP(A63,'Monthly EE List'!A:D,4,0)&amp;" "&amp;VLOOKUP(A63,'Monthly EE List'!A:D,3,0)</f>
        <v>STEPHEN MITTON</v>
      </c>
      <c r="C63" s="38" t="s">
        <v>329</v>
      </c>
      <c r="D63" s="4" t="s">
        <v>599</v>
      </c>
      <c r="E63">
        <v>90201</v>
      </c>
      <c r="F63" t="s">
        <v>220</v>
      </c>
      <c r="G63" s="4" t="s">
        <v>244</v>
      </c>
      <c r="H63" s="4" t="str">
        <f>VLOOKUP(A63,'Monthly EE List'!A:G,7,0)</f>
        <v>A</v>
      </c>
      <c r="J63" s="5"/>
      <c r="L63" s="4" t="str">
        <f t="shared" ca="1" si="0"/>
        <v/>
      </c>
      <c r="M63" s="6" t="str">
        <f>IF(VLOOKUP($C$4,Working!$A$23:$L$52,Working!$F$21,0)="Y",TEXT($C$6,"YYYYMM")&amp;"_"&amp;$E63&amp;"_"&amp;Working!$B$11&amp;Working!$B$12,"")</f>
        <v>201703_90201_Top15.xlsx</v>
      </c>
      <c r="N63" s="6" t="str">
        <f>IF(VLOOKUP($C$4,Working!$A$23:$L$52,Working!$I$21,0)="Y",TEXT($C$6,"YYYYMM")&amp;"_"&amp;$E63&amp;"_"&amp;Working!$B$13&amp;Working!$B$14,"")</f>
        <v/>
      </c>
      <c r="O63" s="4"/>
      <c r="P63" s="4"/>
      <c r="Q63" s="41" t="s">
        <v>228</v>
      </c>
      <c r="R63" s="41"/>
      <c r="S63" s="41"/>
      <c r="T63" s="41"/>
      <c r="U63" s="41"/>
      <c r="V63" s="4"/>
      <c r="AS63"/>
    </row>
    <row r="64" spans="1:45" x14ac:dyDescent="0.3">
      <c r="A64">
        <v>1270</v>
      </c>
      <c r="B64" s="37" t="str">
        <f>VLOOKUP(A64,'Monthly EE List'!A:D,4,0)&amp;" "&amp;VLOOKUP(A64,'Monthly EE List'!A:D,3,0)</f>
        <v>EMIL FILEV</v>
      </c>
      <c r="C64" s="38" t="s">
        <v>275</v>
      </c>
      <c r="D64" s="4" t="s">
        <v>599</v>
      </c>
      <c r="E64">
        <v>41632</v>
      </c>
      <c r="F64" t="s">
        <v>215</v>
      </c>
      <c r="G64" s="4" t="s">
        <v>244</v>
      </c>
      <c r="H64" s="4" t="str">
        <f>VLOOKUP(A64,'Monthly EE List'!A:G,7,0)</f>
        <v>A</v>
      </c>
      <c r="J64" s="5"/>
      <c r="L64" s="4" t="str">
        <f t="shared" ca="1" si="0"/>
        <v/>
      </c>
      <c r="M64" s="6" t="str">
        <f>IF(VLOOKUP($C$4,Working!$A$23:$L$52,Working!$F$21,0)="Y",TEXT($C$6,"YYYYMM")&amp;"_"&amp;$E64&amp;"_"&amp;Working!$B$11&amp;Working!$B$12,"")</f>
        <v>201703_41632_Top15.xlsx</v>
      </c>
      <c r="N64" s="6" t="str">
        <f>IF(VLOOKUP($C$4,Working!$A$23:$L$52,Working!$I$21,0)="Y",TEXT($C$6,"YYYYMM")&amp;"_"&amp;$E64&amp;"_"&amp;Working!$B$13&amp;Working!$B$14,"")</f>
        <v/>
      </c>
      <c r="O64" s="4"/>
      <c r="P64" s="4"/>
      <c r="Q64" s="41" t="s">
        <v>228</v>
      </c>
      <c r="R64" s="41"/>
      <c r="S64" s="41"/>
      <c r="T64" s="41"/>
      <c r="U64" s="41"/>
      <c r="V64" s="4"/>
      <c r="AS64"/>
    </row>
    <row r="65" spans="1:45" x14ac:dyDescent="0.3">
      <c r="A65">
        <v>1286</v>
      </c>
      <c r="B65" s="37" t="str">
        <f>VLOOKUP(A65,'Monthly EE List'!A:D,4,0)&amp;" "&amp;VLOOKUP(A65,'Monthly EE List'!A:D,3,0)</f>
        <v>FATOS TEROVA</v>
      </c>
      <c r="C65" s="38" t="s">
        <v>3700</v>
      </c>
      <c r="D65" s="4" t="s">
        <v>599</v>
      </c>
      <c r="E65">
        <v>41614</v>
      </c>
      <c r="F65" t="s">
        <v>215</v>
      </c>
      <c r="G65" s="4" t="s">
        <v>244</v>
      </c>
      <c r="H65" s="4" t="str">
        <f>VLOOKUP(A65,'Monthly EE List'!A:G,7,0)</f>
        <v>A</v>
      </c>
      <c r="I65" t="s">
        <v>211</v>
      </c>
      <c r="J65" s="5">
        <v>42535</v>
      </c>
      <c r="K65" t="s">
        <v>551</v>
      </c>
      <c r="L65" s="4" t="str">
        <f t="shared" ca="1" si="0"/>
        <v/>
      </c>
      <c r="M65" s="6" t="str">
        <f>IF(VLOOKUP($C$4,Working!$A$23:$L$52,Working!$F$21,0)="Y",TEXT($C$6,"YYYYMM")&amp;"_"&amp;$E65&amp;"_"&amp;Working!$B$11&amp;Working!$B$12,"")</f>
        <v>201703_41614_Top15.xlsx</v>
      </c>
      <c r="N65" s="6" t="str">
        <f>IF(VLOOKUP($C$4,Working!$A$23:$L$52,Working!$I$21,0)="Y",TEXT($C$6,"YYYYMM")&amp;"_"&amp;$E65&amp;"_"&amp;Working!$B$13&amp;Working!$B$14,"")</f>
        <v/>
      </c>
      <c r="O65" s="4"/>
      <c r="P65" s="59"/>
      <c r="Q65" s="41" t="s">
        <v>228</v>
      </c>
      <c r="R65" s="41"/>
      <c r="S65" s="41"/>
      <c r="T65" s="41"/>
      <c r="U65" s="41"/>
      <c r="V65" s="59"/>
      <c r="AS65"/>
    </row>
    <row r="66" spans="1:45" x14ac:dyDescent="0.3">
      <c r="A66">
        <v>1321</v>
      </c>
      <c r="B66" s="37" t="str">
        <f>VLOOKUP(A66,'Monthly EE List'!A:D,4,0)&amp;" "&amp;VLOOKUP(A66,'Monthly EE List'!A:D,3,0)</f>
        <v>MONICA CHRETIEN</v>
      </c>
      <c r="C66" s="38" t="s">
        <v>376</v>
      </c>
      <c r="D66" s="4" t="s">
        <v>599</v>
      </c>
      <c r="E66" t="s">
        <v>74</v>
      </c>
      <c r="F66" t="s">
        <v>215</v>
      </c>
      <c r="G66" s="4" t="s">
        <v>142</v>
      </c>
      <c r="H66" s="4" t="str">
        <f>VLOOKUP(A66,'Monthly EE List'!A:G,7,0)</f>
        <v>A</v>
      </c>
      <c r="J66" s="5"/>
      <c r="L66" s="4" t="str">
        <f t="shared" ca="1" si="0"/>
        <v/>
      </c>
      <c r="M66" s="6" t="str">
        <f>IF(VLOOKUP($C$4,Working!$A$23:$L$52,Working!$F$21,0)="Y",TEXT($C$6,"YYYYMM")&amp;"_"&amp;$E66&amp;"_"&amp;Working!$B$11&amp;Working!$B$12,"")</f>
        <v>201703_CZ1DN_Top15.xlsx</v>
      </c>
      <c r="N66" s="6" t="str">
        <f>IF(VLOOKUP($C$4,Working!$A$23:$L$52,Working!$I$21,0)="Y",TEXT($C$6,"YYYYMM")&amp;"_"&amp;$E66&amp;"_"&amp;Working!$B$13&amp;Working!$B$14,"")</f>
        <v/>
      </c>
      <c r="O66" s="4" t="s">
        <v>228</v>
      </c>
      <c r="P66" s="4" t="s">
        <v>228</v>
      </c>
      <c r="Q66" s="41"/>
      <c r="R66" s="41"/>
      <c r="S66" s="41"/>
      <c r="T66" s="41"/>
      <c r="U66" s="41" t="s">
        <v>228</v>
      </c>
      <c r="V66" s="54"/>
      <c r="AS66"/>
    </row>
    <row r="67" spans="1:45" x14ac:dyDescent="0.3">
      <c r="A67">
        <v>1331</v>
      </c>
      <c r="B67" s="37" t="str">
        <f>VLOOKUP(A67,'Monthly EE List'!A:D,4,0)&amp;" "&amp;VLOOKUP(A67,'Monthly EE List'!A:D,3,0)</f>
        <v>PHILIPPE DAHAN</v>
      </c>
      <c r="C67" s="38" t="s">
        <v>377</v>
      </c>
      <c r="D67" s="4" t="s">
        <v>599</v>
      </c>
      <c r="E67" t="s">
        <v>75</v>
      </c>
      <c r="F67" t="s">
        <v>217</v>
      </c>
      <c r="G67" s="4" t="s">
        <v>142</v>
      </c>
      <c r="H67" s="4" t="str">
        <f>VLOOKUP(A67,'Monthly EE List'!A:G,7,0)</f>
        <v>A</v>
      </c>
      <c r="J67" s="5"/>
      <c r="L67" s="4" t="str">
        <f t="shared" ca="1" si="0"/>
        <v/>
      </c>
      <c r="M67" s="6" t="str">
        <f>IF(VLOOKUP($C$4,Working!$A$23:$L$52,Working!$F$21,0)="Y",TEXT($C$6,"YYYYMM")&amp;"_"&amp;$E67&amp;"_"&amp;Working!$B$11&amp;Working!$B$12,"")</f>
        <v>201703_QZ1EO_Top15.xlsx</v>
      </c>
      <c r="N67" s="6" t="str">
        <f>IF(VLOOKUP($C$4,Working!$A$23:$L$52,Working!$I$21,0)="Y",TEXT($C$6,"YYYYMM")&amp;"_"&amp;$E67&amp;"_"&amp;Working!$B$13&amp;Working!$B$14,"")</f>
        <v/>
      </c>
      <c r="O67" s="4" t="s">
        <v>228</v>
      </c>
      <c r="P67" s="4" t="s">
        <v>228</v>
      </c>
      <c r="Q67" s="41"/>
      <c r="R67" s="41"/>
      <c r="S67" s="41"/>
      <c r="T67" s="41"/>
      <c r="U67" s="41" t="s">
        <v>228</v>
      </c>
      <c r="V67" s="4" t="s">
        <v>228</v>
      </c>
      <c r="AS67"/>
    </row>
    <row r="68" spans="1:45" x14ac:dyDescent="0.3">
      <c r="A68">
        <v>1342</v>
      </c>
      <c r="B68" s="37" t="str">
        <f>VLOOKUP(A68,'Monthly EE List'!A:D,4,0)&amp;" "&amp;VLOOKUP(A68,'Monthly EE List'!A:D,3,0)</f>
        <v>JENNIFER JOBLING</v>
      </c>
      <c r="C68" s="38" t="s">
        <v>378</v>
      </c>
      <c r="D68" s="4" t="s">
        <v>599</v>
      </c>
      <c r="E68" t="s">
        <v>76</v>
      </c>
      <c r="F68" t="s">
        <v>215</v>
      </c>
      <c r="G68" s="4" t="s">
        <v>142</v>
      </c>
      <c r="H68" s="4" t="str">
        <f>VLOOKUP(A68,'Monthly EE List'!A:G,7,0)</f>
        <v>A</v>
      </c>
      <c r="I68" t="s">
        <v>212</v>
      </c>
      <c r="J68" s="5">
        <v>41074</v>
      </c>
      <c r="K68" t="s">
        <v>567</v>
      </c>
      <c r="L68" s="4" t="str">
        <f t="shared" ca="1" si="0"/>
        <v/>
      </c>
      <c r="M68" s="6" t="str">
        <f>IF(VLOOKUP($C$4,Working!$A$23:$L$52,Working!$F$21,0)="Y",TEXT($C$6,"YYYYMM")&amp;"_"&amp;$E68&amp;"_"&amp;Working!$B$11&amp;Working!$B$12,"")</f>
        <v>201703_CZ1CB_Top15.xlsx</v>
      </c>
      <c r="N68" s="6" t="str">
        <f>IF(VLOOKUP($C$4,Working!$A$23:$L$52,Working!$I$21,0)="Y",TEXT($C$6,"YYYYMM")&amp;"_"&amp;$E68&amp;"_"&amp;Working!$B$13&amp;Working!$B$14,"")</f>
        <v/>
      </c>
      <c r="O68" s="4" t="s">
        <v>228</v>
      </c>
      <c r="P68" s="4" t="s">
        <v>228</v>
      </c>
      <c r="Q68" s="41"/>
      <c r="R68" s="41"/>
      <c r="S68" s="41"/>
      <c r="T68" s="41"/>
      <c r="U68" s="41" t="s">
        <v>228</v>
      </c>
      <c r="V68" s="54"/>
      <c r="AS68"/>
    </row>
    <row r="69" spans="1:45" x14ac:dyDescent="0.3">
      <c r="A69">
        <v>1353</v>
      </c>
      <c r="B69" s="37" t="str">
        <f>VLOOKUP(A69,'Monthly EE List'!A:D,4,0)&amp;" "&amp;VLOOKUP(A69,'Monthly EE List'!A:D,3,0)</f>
        <v>STEVE CLOUTIER</v>
      </c>
      <c r="C69" s="38" t="s">
        <v>332</v>
      </c>
      <c r="D69" s="4" t="s">
        <v>599</v>
      </c>
      <c r="E69">
        <v>51424</v>
      </c>
      <c r="F69" t="s">
        <v>217</v>
      </c>
      <c r="G69" s="4" t="s">
        <v>244</v>
      </c>
      <c r="H69" s="4" t="str">
        <f>VLOOKUP(A69,'Monthly EE List'!A:G,7,0)</f>
        <v>A</v>
      </c>
      <c r="I69" t="s">
        <v>212</v>
      </c>
      <c r="J69" s="5">
        <v>41759</v>
      </c>
      <c r="K69" t="s">
        <v>571</v>
      </c>
      <c r="L69" s="4" t="str">
        <f t="shared" ca="1" si="0"/>
        <v/>
      </c>
      <c r="M69" s="6" t="str">
        <f>IF(VLOOKUP($C$4,Working!$A$23:$L$52,Working!$F$21,0)="Y",TEXT($C$6,"YYYYMM")&amp;"_"&amp;$E69&amp;"_"&amp;Working!$B$11&amp;Working!$B$12,"")</f>
        <v>201703_51424_Top15.xlsx</v>
      </c>
      <c r="N69" s="6" t="str">
        <f>IF(VLOOKUP($C$4,Working!$A$23:$L$52,Working!$I$21,0)="Y",TEXT($C$6,"YYYYMM")&amp;"_"&amp;$E69&amp;"_"&amp;Working!$B$13&amp;Working!$B$14,"")</f>
        <v/>
      </c>
      <c r="O69" s="4"/>
      <c r="P69" s="4"/>
      <c r="Q69" s="41" t="s">
        <v>228</v>
      </c>
      <c r="R69" s="41"/>
      <c r="S69" s="41"/>
      <c r="T69" s="41"/>
      <c r="U69" s="41"/>
      <c r="V69" s="4"/>
      <c r="AS69"/>
    </row>
    <row r="70" spans="1:45" x14ac:dyDescent="0.3">
      <c r="A70">
        <v>1463</v>
      </c>
      <c r="B70" s="37" t="str">
        <f>VLOOKUP(A70,'Monthly EE List'!A:D,4,0)&amp;" "&amp;VLOOKUP(A70,'Monthly EE List'!A:D,3,0)</f>
        <v>STAN SHARIVKER</v>
      </c>
      <c r="C70" s="38" t="s">
        <v>324</v>
      </c>
      <c r="D70" s="4" t="s">
        <v>599</v>
      </c>
      <c r="E70">
        <v>41644</v>
      </c>
      <c r="F70" t="s">
        <v>215</v>
      </c>
      <c r="G70" s="4" t="s">
        <v>244</v>
      </c>
      <c r="H70" s="4" t="str">
        <f>VLOOKUP(A70,'Monthly EE List'!A:G,7,0)</f>
        <v>A</v>
      </c>
      <c r="J70" s="5"/>
      <c r="L70" s="4" t="str">
        <f t="shared" ca="1" si="0"/>
        <v/>
      </c>
      <c r="M70" s="6" t="str">
        <f>IF(VLOOKUP($C$4,Working!$A$23:$L$52,Working!$F$21,0)="Y",TEXT($C$6,"YYYYMM")&amp;"_"&amp;$E70&amp;"_"&amp;Working!$B$11&amp;Working!$B$12,"")</f>
        <v>201703_41644_Top15.xlsx</v>
      </c>
      <c r="N70" s="6" t="str">
        <f>IF(VLOOKUP($C$4,Working!$A$23:$L$52,Working!$I$21,0)="Y",TEXT($C$6,"YYYYMM")&amp;"_"&amp;$E70&amp;"_"&amp;Working!$B$13&amp;Working!$B$14,"")</f>
        <v/>
      </c>
      <c r="O70" s="4"/>
      <c r="P70" s="4"/>
      <c r="Q70" s="41" t="s">
        <v>228</v>
      </c>
      <c r="R70" s="41"/>
      <c r="S70" s="41"/>
      <c r="T70" s="41"/>
      <c r="U70" s="41"/>
      <c r="V70" s="4"/>
      <c r="AS70"/>
    </row>
    <row r="71" spans="1:45" x14ac:dyDescent="0.3">
      <c r="A71">
        <v>1510</v>
      </c>
      <c r="B71" s="37" t="str">
        <f>VLOOKUP(A71,'Monthly EE List'!A:D,4,0)&amp;" "&amp;VLOOKUP(A71,'Monthly EE List'!A:D,3,0)</f>
        <v>SERGE GAUDET</v>
      </c>
      <c r="C71" s="38" t="s">
        <v>319</v>
      </c>
      <c r="D71" s="4" t="s">
        <v>599</v>
      </c>
      <c r="E71">
        <v>41802</v>
      </c>
      <c r="F71" t="s">
        <v>219</v>
      </c>
      <c r="G71" s="4" t="s">
        <v>244</v>
      </c>
      <c r="H71" s="4" t="str">
        <f>VLOOKUP(A71,'Monthly EE List'!A:G,7,0)</f>
        <v>A</v>
      </c>
      <c r="J71" s="5"/>
      <c r="L71" s="4" t="str">
        <f t="shared" ca="1" si="0"/>
        <v/>
      </c>
      <c r="M71" s="6" t="str">
        <f>IF(VLOOKUP($C$4,Working!$A$23:$L$52,Working!$F$21,0)="Y",TEXT($C$6,"YYYYMM")&amp;"_"&amp;$E71&amp;"_"&amp;Working!$B$11&amp;Working!$B$12,"")</f>
        <v>201703_41802_Top15.xlsx</v>
      </c>
      <c r="N71" s="6" t="str">
        <f>IF(VLOOKUP($C$4,Working!$A$23:$L$52,Working!$I$21,0)="Y",TEXT($C$6,"YYYYMM")&amp;"_"&amp;$E71&amp;"_"&amp;Working!$B$13&amp;Working!$B$14,"")</f>
        <v/>
      </c>
      <c r="O71" s="4"/>
      <c r="P71" s="4"/>
      <c r="Q71" s="41" t="s">
        <v>228</v>
      </c>
      <c r="R71" s="41"/>
      <c r="S71" s="41"/>
      <c r="T71" s="41"/>
      <c r="U71" s="41"/>
      <c r="V71" s="4"/>
      <c r="AS71"/>
    </row>
    <row r="72" spans="1:45" x14ac:dyDescent="0.3">
      <c r="A72">
        <v>1560</v>
      </c>
      <c r="B72" s="37" t="str">
        <f>VLOOKUP(A72,'Monthly EE List'!A:D,4,0)&amp;" "&amp;VLOOKUP(A72,'Monthly EE List'!A:D,3,0)</f>
        <v>SHANE ULBL</v>
      </c>
      <c r="C72" s="38" t="s">
        <v>320</v>
      </c>
      <c r="D72" s="4" t="s">
        <v>599</v>
      </c>
      <c r="E72">
        <v>41643</v>
      </c>
      <c r="F72" t="s">
        <v>215</v>
      </c>
      <c r="G72" s="4" t="s">
        <v>244</v>
      </c>
      <c r="H72" s="4" t="str">
        <f>VLOOKUP(A72,'Monthly EE List'!A:G,7,0)</f>
        <v>A</v>
      </c>
      <c r="J72" s="5"/>
      <c r="L72" s="4" t="str">
        <f t="shared" ref="L72:L135" ca="1" si="1">IF(OFFSET(N72,,$C$4)="X","X","")</f>
        <v/>
      </c>
      <c r="M72" s="6" t="str">
        <f>IF(VLOOKUP($C$4,Working!$A$23:$L$52,Working!$F$21,0)="Y",TEXT($C$6,"YYYYMM")&amp;"_"&amp;$E72&amp;"_"&amp;Working!$B$11&amp;Working!$B$12,"")</f>
        <v>201703_41643_Top15.xlsx</v>
      </c>
      <c r="N72" s="6" t="str">
        <f>IF(VLOOKUP($C$4,Working!$A$23:$L$52,Working!$I$21,0)="Y",TEXT($C$6,"YYYYMM")&amp;"_"&amp;$E72&amp;"_"&amp;Working!$B$13&amp;Working!$B$14,"")</f>
        <v/>
      </c>
      <c r="O72" s="4"/>
      <c r="P72" s="4"/>
      <c r="Q72" s="41" t="s">
        <v>228</v>
      </c>
      <c r="R72" s="41"/>
      <c r="S72" s="41"/>
      <c r="T72" s="41"/>
      <c r="U72" s="41"/>
      <c r="V72" s="4"/>
      <c r="AS72"/>
    </row>
    <row r="73" spans="1:45" x14ac:dyDescent="0.3">
      <c r="A73">
        <v>1574</v>
      </c>
      <c r="B73" s="37" t="str">
        <f>VLOOKUP(A73,'Monthly EE List'!A:D,4,0)&amp;" "&amp;VLOOKUP(A73,'Monthly EE List'!A:D,3,0)</f>
        <v>DONALD SCOTT</v>
      </c>
      <c r="C73" s="38" t="s">
        <v>380</v>
      </c>
      <c r="D73" s="4" t="s">
        <v>599</v>
      </c>
      <c r="E73" t="s">
        <v>78</v>
      </c>
      <c r="F73" t="s">
        <v>215</v>
      </c>
      <c r="G73" s="4" t="s">
        <v>142</v>
      </c>
      <c r="H73" s="4" t="str">
        <f>VLOOKUP(A73,'Monthly EE List'!A:G,7,0)</f>
        <v>A</v>
      </c>
      <c r="J73" s="5"/>
      <c r="L73" s="4" t="str">
        <f t="shared" ca="1" si="1"/>
        <v/>
      </c>
      <c r="M73" s="6" t="str">
        <f>IF(VLOOKUP($C$4,Working!$A$23:$L$52,Working!$F$21,0)="Y",TEXT($C$6,"YYYYMM")&amp;"_"&amp;$E73&amp;"_"&amp;Working!$B$11&amp;Working!$B$12,"")</f>
        <v>201703_CZ1B8_Top15.xlsx</v>
      </c>
      <c r="N73" s="6" t="str">
        <f>IF(VLOOKUP($C$4,Working!$A$23:$L$52,Working!$I$21,0)="Y",TEXT($C$6,"YYYYMM")&amp;"_"&amp;$E73&amp;"_"&amp;Working!$B$13&amp;Working!$B$14,"")</f>
        <v/>
      </c>
      <c r="O73" s="4" t="s">
        <v>228</v>
      </c>
      <c r="P73" s="4" t="s">
        <v>228</v>
      </c>
      <c r="Q73" s="41"/>
      <c r="R73" s="41"/>
      <c r="S73" s="41"/>
      <c r="T73" s="41"/>
      <c r="U73" s="41" t="s">
        <v>228</v>
      </c>
      <c r="V73" s="54"/>
      <c r="AS73"/>
    </row>
    <row r="74" spans="1:45" x14ac:dyDescent="0.3">
      <c r="A74">
        <v>1583</v>
      </c>
      <c r="B74" s="37" t="str">
        <f>VLOOKUP(A74,'Monthly EE List'!A:D,4,0)&amp;" "&amp;VLOOKUP(A74,'Monthly EE List'!A:D,3,0)</f>
        <v>ARVIN YANES</v>
      </c>
      <c r="C74" s="38" t="s">
        <v>249</v>
      </c>
      <c r="D74" s="4" t="s">
        <v>599</v>
      </c>
      <c r="E74">
        <v>41607</v>
      </c>
      <c r="F74" t="s">
        <v>215</v>
      </c>
      <c r="G74" s="4" t="s">
        <v>244</v>
      </c>
      <c r="H74" s="4" t="str">
        <f>VLOOKUP(A74,'Monthly EE List'!A:G,7,0)</f>
        <v>A</v>
      </c>
      <c r="J74" s="5"/>
      <c r="L74" s="4" t="str">
        <f t="shared" ca="1" si="1"/>
        <v/>
      </c>
      <c r="M74" s="6" t="str">
        <f>IF(VLOOKUP($C$4,Working!$A$23:$L$52,Working!$F$21,0)="Y",TEXT($C$6,"YYYYMM")&amp;"_"&amp;$E74&amp;"_"&amp;Working!$B$11&amp;Working!$B$12,"")</f>
        <v>201703_41607_Top15.xlsx</v>
      </c>
      <c r="N74" s="6" t="str">
        <f>IF(VLOOKUP($C$4,Working!$A$23:$L$52,Working!$I$21,0)="Y",TEXT($C$6,"YYYYMM")&amp;"_"&amp;$E74&amp;"_"&amp;Working!$B$13&amp;Working!$B$14,"")</f>
        <v/>
      </c>
      <c r="O74" s="4"/>
      <c r="P74" s="4"/>
      <c r="Q74" s="41" t="s">
        <v>228</v>
      </c>
      <c r="R74" s="41"/>
      <c r="S74" s="41"/>
      <c r="T74" s="41"/>
      <c r="U74" s="41"/>
      <c r="V74" s="4"/>
      <c r="AS74"/>
    </row>
    <row r="75" spans="1:45" x14ac:dyDescent="0.3">
      <c r="A75">
        <v>1590</v>
      </c>
      <c r="B75" s="46" t="str">
        <f>VLOOKUP(A75,'Monthly EE List'!A:D,4,0)&amp;" "&amp;VLOOKUP(A75,'Monthly EE List'!A:D,3,0)</f>
        <v>YANNICK SENECHAL</v>
      </c>
      <c r="C75" s="38" t="s">
        <v>2913</v>
      </c>
      <c r="D75" s="4" t="s">
        <v>599</v>
      </c>
      <c r="E75" s="10">
        <v>51426</v>
      </c>
      <c r="F75" t="s">
        <v>217</v>
      </c>
      <c r="G75" s="4" t="s">
        <v>244</v>
      </c>
      <c r="H75" s="4" t="str">
        <f>VLOOKUP(A75,'Monthly EE List'!A:G,7,0)</f>
        <v>A</v>
      </c>
      <c r="I75" t="s">
        <v>211</v>
      </c>
      <c r="J75" s="5">
        <v>41409</v>
      </c>
      <c r="K75" t="s">
        <v>551</v>
      </c>
      <c r="L75" s="4" t="str">
        <f t="shared" ca="1" si="1"/>
        <v/>
      </c>
      <c r="M75" s="6" t="str">
        <f>IF(VLOOKUP($C$4,Working!$A$23:$L$52,Working!$F$21,0)="Y",TEXT($C$6,"YYYYMM")&amp;"_"&amp;$E75&amp;"_"&amp;Working!$B$11&amp;Working!$B$12,"")</f>
        <v>201703_51426_Top15.xlsx</v>
      </c>
      <c r="N75" s="6" t="str">
        <f>IF(VLOOKUP($C$4,Working!$A$23:$L$52,Working!$I$21,0)="Y",TEXT($C$6,"YYYYMM")&amp;"_"&amp;$E75&amp;"_"&amp;Working!$B$13&amp;Working!$B$14,"")</f>
        <v/>
      </c>
      <c r="O75" s="4"/>
      <c r="P75" s="4"/>
      <c r="Q75" s="41"/>
      <c r="R75" s="41"/>
      <c r="S75" s="41"/>
      <c r="T75" s="41"/>
      <c r="U75" s="41"/>
      <c r="V75" s="4"/>
      <c r="AS75"/>
    </row>
    <row r="76" spans="1:45" x14ac:dyDescent="0.3">
      <c r="A76">
        <v>1602</v>
      </c>
      <c r="B76" s="37" t="str">
        <f>VLOOKUP(A76,'Monthly EE List'!A:D,4,0)&amp;" "&amp;VLOOKUP(A76,'Monthly EE List'!A:D,3,0)</f>
        <v>NANCY FOISY</v>
      </c>
      <c r="C76" s="38" t="s">
        <v>381</v>
      </c>
      <c r="D76" s="4" t="s">
        <v>599</v>
      </c>
      <c r="E76" t="s">
        <v>79</v>
      </c>
      <c r="F76" t="s">
        <v>221</v>
      </c>
      <c r="G76" s="4" t="s">
        <v>142</v>
      </c>
      <c r="H76" s="4" t="str">
        <f>VLOOKUP(A76,'Monthly EE List'!A:G,7,0)</f>
        <v>A</v>
      </c>
      <c r="J76" s="5"/>
      <c r="L76" s="4" t="str">
        <f t="shared" ca="1" si="1"/>
        <v/>
      </c>
      <c r="M76" s="6" t="str">
        <f>IF(VLOOKUP($C$4,Working!$A$23:$L$52,Working!$F$21,0)="Y",TEXT($C$6,"YYYYMM")&amp;"_"&amp;$E76&amp;"_"&amp;Working!$B$11&amp;Working!$B$12,"")</f>
        <v>201703_CZ1C4_Top15.xlsx</v>
      </c>
      <c r="N76" s="6" t="str">
        <f>IF(VLOOKUP($C$4,Working!$A$23:$L$52,Working!$I$21,0)="Y",TEXT($C$6,"YYYYMM")&amp;"_"&amp;$E76&amp;"_"&amp;Working!$B$13&amp;Working!$B$14,"")</f>
        <v/>
      </c>
      <c r="O76" s="4" t="s">
        <v>228</v>
      </c>
      <c r="P76" s="4" t="s">
        <v>228</v>
      </c>
      <c r="Q76" s="41"/>
      <c r="R76" s="41"/>
      <c r="S76" s="41"/>
      <c r="T76" s="41"/>
      <c r="U76" s="41" t="s">
        <v>228</v>
      </c>
      <c r="V76" s="54"/>
      <c r="AS76"/>
    </row>
    <row r="77" spans="1:45" x14ac:dyDescent="0.3">
      <c r="A77">
        <v>1605</v>
      </c>
      <c r="B77" s="37" t="str">
        <f>VLOOKUP(A77,'Monthly EE List'!A:D,4,0)&amp;" "&amp;VLOOKUP(A77,'Monthly EE List'!A:D,3,0)</f>
        <v>KIMBALL MORRISON</v>
      </c>
      <c r="C77" s="38" t="s">
        <v>295</v>
      </c>
      <c r="D77" s="4" t="s">
        <v>599</v>
      </c>
      <c r="E77">
        <v>90209</v>
      </c>
      <c r="F77" t="s">
        <v>220</v>
      </c>
      <c r="G77" s="4" t="s">
        <v>244</v>
      </c>
      <c r="H77" s="4" t="str">
        <f>VLOOKUP(A77,'Monthly EE List'!A:G,7,0)</f>
        <v>A</v>
      </c>
      <c r="J77" s="5"/>
      <c r="L77" s="4" t="str">
        <f t="shared" ca="1" si="1"/>
        <v/>
      </c>
      <c r="M77" s="6" t="str">
        <f>IF(VLOOKUP($C$4,Working!$A$23:$L$52,Working!$F$21,0)="Y",TEXT($C$6,"YYYYMM")&amp;"_"&amp;$E77&amp;"_"&amp;Working!$B$11&amp;Working!$B$12,"")</f>
        <v>201703_90209_Top15.xlsx</v>
      </c>
      <c r="N77" s="6" t="str">
        <f>IF(VLOOKUP($C$4,Working!$A$23:$L$52,Working!$I$21,0)="Y",TEXT($C$6,"YYYYMM")&amp;"_"&amp;$E77&amp;"_"&amp;Working!$B$13&amp;Working!$B$14,"")</f>
        <v/>
      </c>
      <c r="O77" s="4"/>
      <c r="P77" s="4"/>
      <c r="Q77" s="41" t="s">
        <v>228</v>
      </c>
      <c r="R77" s="41"/>
      <c r="S77" s="41"/>
      <c r="T77" s="41"/>
      <c r="U77" s="41"/>
      <c r="V77" s="4"/>
      <c r="AS77"/>
    </row>
    <row r="78" spans="1:45" x14ac:dyDescent="0.3">
      <c r="A78">
        <v>1610</v>
      </c>
      <c r="B78" s="37" t="str">
        <f>VLOOKUP(A78,'Monthly EE List'!A:D,4,0)&amp;" "&amp;VLOOKUP(A78,'Monthly EE List'!A:D,3,0)</f>
        <v>PIERRE LALIBERTE</v>
      </c>
      <c r="C78" s="38" t="s">
        <v>309</v>
      </c>
      <c r="D78" s="4" t="s">
        <v>599</v>
      </c>
      <c r="E78">
        <v>51421</v>
      </c>
      <c r="F78" t="s">
        <v>217</v>
      </c>
      <c r="G78" s="4" t="s">
        <v>244</v>
      </c>
      <c r="H78" s="4" t="str">
        <f>VLOOKUP(A78,'Monthly EE List'!A:G,7,0)</f>
        <v>A</v>
      </c>
      <c r="I78" t="s">
        <v>212</v>
      </c>
      <c r="J78" s="5">
        <v>41806</v>
      </c>
      <c r="K78" t="s">
        <v>567</v>
      </c>
      <c r="L78" s="4" t="str">
        <f t="shared" ca="1" si="1"/>
        <v/>
      </c>
      <c r="M78" s="6" t="str">
        <f>IF(VLOOKUP($C$4,Working!$A$23:$L$52,Working!$F$21,0)="Y",TEXT($C$6,"YYYYMM")&amp;"_"&amp;$E78&amp;"_"&amp;Working!$B$11&amp;Working!$B$12,"")</f>
        <v>201703_51421_Top15.xlsx</v>
      </c>
      <c r="N78" s="6" t="str">
        <f>IF(VLOOKUP($C$4,Working!$A$23:$L$52,Working!$I$21,0)="Y",TEXT($C$6,"YYYYMM")&amp;"_"&amp;$E78&amp;"_"&amp;Working!$B$13&amp;Working!$B$14,"")</f>
        <v/>
      </c>
      <c r="O78" s="4"/>
      <c r="P78" s="4"/>
      <c r="Q78" s="41" t="s">
        <v>228</v>
      </c>
      <c r="R78" s="41"/>
      <c r="S78" s="41"/>
      <c r="T78" s="41"/>
      <c r="U78" s="41"/>
      <c r="V78" s="4"/>
      <c r="AS78"/>
    </row>
    <row r="79" spans="1:45" x14ac:dyDescent="0.3">
      <c r="A79">
        <v>1621</v>
      </c>
      <c r="B79" s="37" t="str">
        <f>VLOOKUP(A79,'Monthly EE List'!A:D,4,0)&amp;" "&amp;VLOOKUP(A79,'Monthly EE List'!A:D,3,0)</f>
        <v>MAXIME SIMARD</v>
      </c>
      <c r="C79" s="38" t="s">
        <v>382</v>
      </c>
      <c r="D79" s="4" t="s">
        <v>599</v>
      </c>
      <c r="E79" t="s">
        <v>80</v>
      </c>
      <c r="F79" t="s">
        <v>219</v>
      </c>
      <c r="G79" s="4" t="s">
        <v>142</v>
      </c>
      <c r="H79" s="4" t="str">
        <f>VLOOKUP(A79,'Monthly EE List'!A:G,7,0)</f>
        <v>A</v>
      </c>
      <c r="J79" s="5"/>
      <c r="L79" s="4" t="str">
        <f t="shared" ca="1" si="1"/>
        <v/>
      </c>
      <c r="M79" s="6" t="str">
        <f>IF(VLOOKUP($C$4,Working!$A$23:$L$52,Working!$F$21,0)="Y",TEXT($C$6,"YYYYMM")&amp;"_"&amp;$E79&amp;"_"&amp;Working!$B$11&amp;Working!$B$12,"")</f>
        <v>201703_QZ1D8_Top15.xlsx</v>
      </c>
      <c r="N79" s="6" t="str">
        <f>IF(VLOOKUP($C$4,Working!$A$23:$L$52,Working!$I$21,0)="Y",TEXT($C$6,"YYYYMM")&amp;"_"&amp;$E79&amp;"_"&amp;Working!$B$13&amp;Working!$B$14,"")</f>
        <v/>
      </c>
      <c r="O79" s="4" t="s">
        <v>228</v>
      </c>
      <c r="P79" s="4" t="s">
        <v>228</v>
      </c>
      <c r="Q79" s="41"/>
      <c r="R79" s="41"/>
      <c r="S79" s="41"/>
      <c r="T79" s="41"/>
      <c r="U79" s="41" t="s">
        <v>228</v>
      </c>
      <c r="V79" s="4" t="s">
        <v>228</v>
      </c>
      <c r="AS79"/>
    </row>
    <row r="80" spans="1:45" x14ac:dyDescent="0.3">
      <c r="A80">
        <v>1627</v>
      </c>
      <c r="B80" s="37" t="str">
        <f>VLOOKUP(A80,'Monthly EE List'!A:D,4,0)&amp;" "&amp;VLOOKUP(A80,'Monthly EE List'!A:D,3,0)</f>
        <v>SHIRLEY WALLACE</v>
      </c>
      <c r="C80" s="38" t="s">
        <v>383</v>
      </c>
      <c r="D80" s="4" t="s">
        <v>599</v>
      </c>
      <c r="E80" t="s">
        <v>81</v>
      </c>
      <c r="F80" t="s">
        <v>215</v>
      </c>
      <c r="G80" s="4" t="s">
        <v>142</v>
      </c>
      <c r="H80" s="4" t="str">
        <f>VLOOKUP(A80,'Monthly EE List'!A:G,7,0)</f>
        <v>A</v>
      </c>
      <c r="J80" s="5"/>
      <c r="L80" s="4" t="str">
        <f t="shared" ca="1" si="1"/>
        <v/>
      </c>
      <c r="M80" s="6" t="str">
        <f>IF(VLOOKUP($C$4,Working!$A$23:$L$52,Working!$F$21,0)="Y",TEXT($C$6,"YYYYMM")&amp;"_"&amp;$E80&amp;"_"&amp;Working!$B$11&amp;Working!$B$12,"")</f>
        <v>201703_CZ1SW_Top15.xlsx</v>
      </c>
      <c r="N80" s="6" t="str">
        <f>IF(VLOOKUP($C$4,Working!$A$23:$L$52,Working!$I$21,0)="Y",TEXT($C$6,"YYYYMM")&amp;"_"&amp;$E80&amp;"_"&amp;Working!$B$13&amp;Working!$B$14,"")</f>
        <v/>
      </c>
      <c r="O80" s="4" t="s">
        <v>228</v>
      </c>
      <c r="P80" s="4" t="s">
        <v>228</v>
      </c>
      <c r="Q80" s="41"/>
      <c r="R80" s="41"/>
      <c r="S80" s="41"/>
      <c r="T80" s="41"/>
      <c r="U80" s="41" t="s">
        <v>228</v>
      </c>
      <c r="V80" s="54"/>
      <c r="AS80"/>
    </row>
    <row r="81" spans="1:45" x14ac:dyDescent="0.3">
      <c r="A81">
        <v>1628</v>
      </c>
      <c r="B81" s="37" t="str">
        <f>VLOOKUP(A81,'Monthly EE List'!A:D,4,0)&amp;" "&amp;VLOOKUP(A81,'Monthly EE List'!A:D,3,0)</f>
        <v>ANDREE-CHANTALE PROULX</v>
      </c>
      <c r="C81" s="38" t="s">
        <v>384</v>
      </c>
      <c r="D81" s="4" t="s">
        <v>599</v>
      </c>
      <c r="E81" t="s">
        <v>82</v>
      </c>
      <c r="F81" t="s">
        <v>219</v>
      </c>
      <c r="G81" s="4" t="s">
        <v>142</v>
      </c>
      <c r="H81" s="4" t="str">
        <f>VLOOKUP(A81,'Monthly EE List'!A:G,7,0)</f>
        <v>A</v>
      </c>
      <c r="J81" s="5"/>
      <c r="L81" s="4" t="str">
        <f t="shared" ca="1" si="1"/>
        <v/>
      </c>
      <c r="M81" s="6" t="str">
        <f>IF(VLOOKUP($C$4,Working!$A$23:$L$52,Working!$F$21,0)="Y",TEXT($C$6,"YYYYMM")&amp;"_"&amp;$E81&amp;"_"&amp;Working!$B$11&amp;Working!$B$12,"")</f>
        <v>201703_QZ1AP_Top15.xlsx</v>
      </c>
      <c r="N81" s="6" t="str">
        <f>IF(VLOOKUP($C$4,Working!$A$23:$L$52,Working!$I$21,0)="Y",TEXT($C$6,"YYYYMM")&amp;"_"&amp;$E81&amp;"_"&amp;Working!$B$13&amp;Working!$B$14,"")</f>
        <v/>
      </c>
      <c r="O81" s="4" t="s">
        <v>228</v>
      </c>
      <c r="P81" s="4" t="s">
        <v>228</v>
      </c>
      <c r="Q81" s="41"/>
      <c r="R81" s="41"/>
      <c r="S81" s="41"/>
      <c r="T81" s="41"/>
      <c r="U81" s="41" t="s">
        <v>228</v>
      </c>
      <c r="V81" s="4" t="s">
        <v>228</v>
      </c>
      <c r="AS81"/>
    </row>
    <row r="82" spans="1:45" x14ac:dyDescent="0.3">
      <c r="A82">
        <v>1637</v>
      </c>
      <c r="B82" s="37" t="str">
        <f>VLOOKUP(A82,'Monthly EE List'!A:D,4,0)&amp;" "&amp;VLOOKUP(A82,'Monthly EE List'!A:D,3,0)</f>
        <v>MARK MOORE</v>
      </c>
      <c r="C82" s="38" t="s">
        <v>3372</v>
      </c>
      <c r="D82" s="4" t="s">
        <v>599</v>
      </c>
      <c r="E82">
        <v>41626</v>
      </c>
      <c r="F82" t="s">
        <v>215</v>
      </c>
      <c r="G82" s="4" t="s">
        <v>244</v>
      </c>
      <c r="H82" s="4" t="str">
        <f>VLOOKUP(A82,'Monthly EE List'!A:G,7,0)</f>
        <v>A</v>
      </c>
      <c r="I82" t="s">
        <v>211</v>
      </c>
      <c r="J82" s="5">
        <v>42108</v>
      </c>
      <c r="K82" t="s">
        <v>551</v>
      </c>
      <c r="L82" s="4" t="str">
        <f t="shared" ca="1" si="1"/>
        <v/>
      </c>
      <c r="M82" s="6" t="str">
        <f>IF(VLOOKUP($C$4,Working!$A$23:$L$52,Working!$F$21,0)="Y",TEXT($C$6,"YYYYMM")&amp;"_"&amp;$E82&amp;"_"&amp;Working!$B$11&amp;Working!$B$12,"")</f>
        <v>201703_41626_Top15.xlsx</v>
      </c>
      <c r="N82" s="6" t="str">
        <f>IF(VLOOKUP($C$4,Working!$A$23:$L$52,Working!$I$21,0)="Y",TEXT($C$6,"YYYYMM")&amp;"_"&amp;$E82&amp;"_"&amp;Working!$B$13&amp;Working!$B$14,"")</f>
        <v/>
      </c>
      <c r="O82" s="4"/>
      <c r="P82" s="59"/>
      <c r="Q82" s="41" t="s">
        <v>228</v>
      </c>
      <c r="R82" s="41"/>
      <c r="S82" s="41"/>
      <c r="T82" s="41"/>
      <c r="U82" s="41"/>
      <c r="V82" s="59"/>
      <c r="AS82"/>
    </row>
    <row r="83" spans="1:45" x14ac:dyDescent="0.3">
      <c r="A83">
        <v>1638</v>
      </c>
      <c r="B83" s="37" t="str">
        <f>VLOOKUP(A83,'Monthly EE List'!A:D,4,0)&amp;" "&amp;VLOOKUP(A83,'Monthly EE List'!A:D,3,0)</f>
        <v>CARL BERNAT</v>
      </c>
      <c r="C83" s="38" t="s">
        <v>385</v>
      </c>
      <c r="D83" s="4" t="s">
        <v>599</v>
      </c>
      <c r="E83" t="s">
        <v>83</v>
      </c>
      <c r="F83" t="s">
        <v>218</v>
      </c>
      <c r="G83" s="4" t="s">
        <v>142</v>
      </c>
      <c r="H83" s="4" t="str">
        <f>VLOOKUP(A83,'Monthly EE List'!A:G,7,0)</f>
        <v>A</v>
      </c>
      <c r="I83" t="s">
        <v>212</v>
      </c>
      <c r="J83" s="5">
        <v>40830</v>
      </c>
      <c r="K83" t="s">
        <v>2423</v>
      </c>
      <c r="L83" s="4" t="str">
        <f t="shared" ca="1" si="1"/>
        <v/>
      </c>
      <c r="M83" s="6" t="str">
        <f>IF(VLOOKUP($C$4,Working!$A$23:$L$52,Working!$F$21,0)="Y",TEXT($C$6,"YYYYMM")&amp;"_"&amp;$E83&amp;"_"&amp;Working!$B$11&amp;Working!$B$12,"")</f>
        <v>201703_CZ2CB_Top15.xlsx</v>
      </c>
      <c r="N83" s="6" t="str">
        <f>IF(VLOOKUP($C$4,Working!$A$23:$L$52,Working!$I$21,0)="Y",TEXT($C$6,"YYYYMM")&amp;"_"&amp;$E83&amp;"_"&amp;Working!$B$13&amp;Working!$B$14,"")</f>
        <v/>
      </c>
      <c r="O83" s="4" t="s">
        <v>228</v>
      </c>
      <c r="P83" s="4" t="s">
        <v>228</v>
      </c>
      <c r="Q83" s="41"/>
      <c r="R83" s="41"/>
      <c r="S83" s="41"/>
      <c r="T83" s="41"/>
      <c r="U83" s="41" t="s">
        <v>228</v>
      </c>
      <c r="V83" s="54"/>
      <c r="AS83"/>
    </row>
    <row r="84" spans="1:45" x14ac:dyDescent="0.3">
      <c r="A84">
        <v>1639</v>
      </c>
      <c r="B84" s="37" t="str">
        <f>VLOOKUP(A84,'Monthly EE List'!A:D,4,0)&amp;" "&amp;VLOOKUP(A84,'Monthly EE List'!A:D,3,0)</f>
        <v>ROLAND PELLETIER</v>
      </c>
      <c r="C84" s="38" t="s">
        <v>255</v>
      </c>
      <c r="D84" s="4" t="s">
        <v>599</v>
      </c>
      <c r="E84">
        <v>51908</v>
      </c>
      <c r="F84" t="s">
        <v>218</v>
      </c>
      <c r="G84" s="4" t="s">
        <v>244</v>
      </c>
      <c r="H84" s="4" t="str">
        <f>VLOOKUP(A84,'Monthly EE List'!A:G,7,0)</f>
        <v>A</v>
      </c>
      <c r="J84" s="5"/>
      <c r="L84" s="4" t="str">
        <f t="shared" ca="1" si="1"/>
        <v/>
      </c>
      <c r="M84" s="6" t="str">
        <f>IF(VLOOKUP($C$4,Working!$A$23:$L$52,Working!$F$21,0)="Y",TEXT($C$6,"YYYYMM")&amp;"_"&amp;$E84&amp;"_"&amp;Working!$B$11&amp;Working!$B$12,"")</f>
        <v>201703_51908_Top15.xlsx</v>
      </c>
      <c r="N84" s="6" t="str">
        <f>IF(VLOOKUP($C$4,Working!$A$23:$L$52,Working!$I$21,0)="Y",TEXT($C$6,"YYYYMM")&amp;"_"&amp;$E84&amp;"_"&amp;Working!$B$13&amp;Working!$B$14,"")</f>
        <v/>
      </c>
      <c r="O84" s="4"/>
      <c r="P84" s="4"/>
      <c r="Q84" s="41" t="s">
        <v>228</v>
      </c>
      <c r="R84" s="41"/>
      <c r="S84" s="41"/>
      <c r="T84" s="41"/>
      <c r="U84" s="41"/>
      <c r="V84" s="4"/>
      <c r="AS84"/>
    </row>
    <row r="85" spans="1:45" x14ac:dyDescent="0.3">
      <c r="A85">
        <v>1643</v>
      </c>
      <c r="B85" s="37" t="str">
        <f>VLOOKUP(A85,'Monthly EE List'!A:D,4,0)&amp;" "&amp;VLOOKUP(A85,'Monthly EE List'!A:D,3,0)</f>
        <v>JOHN MCGUIRE</v>
      </c>
      <c r="C85" s="38" t="s">
        <v>2391</v>
      </c>
      <c r="D85" s="4" t="s">
        <v>599</v>
      </c>
      <c r="E85">
        <v>41621</v>
      </c>
      <c r="F85" t="s">
        <v>215</v>
      </c>
      <c r="G85" s="4" t="s">
        <v>244</v>
      </c>
      <c r="H85" s="4" t="str">
        <f>VLOOKUP(A85,'Monthly EE List'!A:G,7,0)</f>
        <v>A</v>
      </c>
      <c r="I85" t="s">
        <v>211</v>
      </c>
      <c r="J85" s="5">
        <v>40954</v>
      </c>
      <c r="K85" t="s">
        <v>551</v>
      </c>
      <c r="L85" s="4" t="str">
        <f t="shared" ca="1" si="1"/>
        <v/>
      </c>
      <c r="M85" s="6" t="str">
        <f>IF(VLOOKUP($C$4,Working!$A$23:$L$52,Working!$F$21,0)="Y",TEXT($C$6,"YYYYMM")&amp;"_"&amp;$E85&amp;"_"&amp;Working!$B$11&amp;Working!$B$12,"")</f>
        <v>201703_41621_Top15.xlsx</v>
      </c>
      <c r="N85" s="6" t="str">
        <f>IF(VLOOKUP($C$4,Working!$A$23:$L$52,Working!$I$21,0)="Y",TEXT($C$6,"YYYYMM")&amp;"_"&amp;$E85&amp;"_"&amp;Working!$B$13&amp;Working!$B$14,"")</f>
        <v/>
      </c>
      <c r="O85" s="4"/>
      <c r="P85" s="4"/>
      <c r="Q85" s="41" t="s">
        <v>228</v>
      </c>
      <c r="R85" s="41"/>
      <c r="S85" s="41"/>
      <c r="T85" s="41"/>
      <c r="U85" s="41"/>
      <c r="V85" s="4"/>
      <c r="AS85"/>
    </row>
    <row r="86" spans="1:45" x14ac:dyDescent="0.3">
      <c r="A86">
        <v>1652</v>
      </c>
      <c r="B86" s="37" t="str">
        <f>VLOOKUP(A86,'Monthly EE List'!A:D,4,0)&amp;" "&amp;VLOOKUP(A86,'Monthly EE List'!A:D,3,0)</f>
        <v>ROGER BIRDSELL</v>
      </c>
      <c r="C86" s="38" t="s">
        <v>316</v>
      </c>
      <c r="D86" s="4" t="s">
        <v>599</v>
      </c>
      <c r="E86">
        <v>61311</v>
      </c>
      <c r="F86" t="s">
        <v>221</v>
      </c>
      <c r="G86" s="4" t="s">
        <v>244</v>
      </c>
      <c r="H86" s="4" t="str">
        <f>VLOOKUP(A86,'Monthly EE List'!A:G,7,0)</f>
        <v>A</v>
      </c>
      <c r="I86" t="s">
        <v>212</v>
      </c>
      <c r="J86" s="5">
        <v>41501</v>
      </c>
      <c r="K86" t="s">
        <v>567</v>
      </c>
      <c r="L86" s="4" t="str">
        <f t="shared" ca="1" si="1"/>
        <v/>
      </c>
      <c r="M86" s="6" t="str">
        <f>IF(VLOOKUP($C$4,Working!$A$23:$L$52,Working!$F$21,0)="Y",TEXT($C$6,"YYYYMM")&amp;"_"&amp;$E86&amp;"_"&amp;Working!$B$11&amp;Working!$B$12,"")</f>
        <v>201703_61311_Top15.xlsx</v>
      </c>
      <c r="N86" s="6" t="str">
        <f>IF(VLOOKUP($C$4,Working!$A$23:$L$52,Working!$I$21,0)="Y",TEXT($C$6,"YYYYMM")&amp;"_"&amp;$E86&amp;"_"&amp;Working!$B$13&amp;Working!$B$14,"")</f>
        <v/>
      </c>
      <c r="O86" s="4"/>
      <c r="P86" s="4"/>
      <c r="Q86" s="41" t="s">
        <v>228</v>
      </c>
      <c r="R86" s="41"/>
      <c r="S86" s="41"/>
      <c r="T86" s="41"/>
      <c r="U86" s="41"/>
      <c r="V86" s="4"/>
      <c r="AS86"/>
    </row>
    <row r="87" spans="1:45" x14ac:dyDescent="0.3">
      <c r="A87">
        <v>1676</v>
      </c>
      <c r="B87" s="37" t="str">
        <f>VLOOKUP(A87,'Monthly EE List'!A:D,4,0)&amp;" "&amp;VLOOKUP(A87,'Monthly EE List'!A:D,3,0)</f>
        <v>CATHERINE GOULD</v>
      </c>
      <c r="C87" s="38" t="s">
        <v>386</v>
      </c>
      <c r="D87" s="4" t="s">
        <v>599</v>
      </c>
      <c r="E87" t="s">
        <v>84</v>
      </c>
      <c r="F87" t="s">
        <v>221</v>
      </c>
      <c r="G87" s="4" t="s">
        <v>142</v>
      </c>
      <c r="H87" s="4" t="str">
        <f>VLOOKUP(A87,'Monthly EE List'!A:G,7,0)</f>
        <v>A</v>
      </c>
      <c r="J87" s="5"/>
      <c r="L87" s="4" t="str">
        <f t="shared" ca="1" si="1"/>
        <v/>
      </c>
      <c r="M87" s="6" t="str">
        <f>IF(VLOOKUP($C$4,Working!$A$23:$L$52,Working!$F$21,0)="Y",TEXT($C$6,"YYYYMM")&amp;"_"&amp;$E87&amp;"_"&amp;Working!$B$11&amp;Working!$B$12,"")</f>
        <v>201703_CZ1CG_Top15.xlsx</v>
      </c>
      <c r="N87" s="6" t="str">
        <f>IF(VLOOKUP($C$4,Working!$A$23:$L$52,Working!$I$21,0)="Y",TEXT($C$6,"YYYYMM")&amp;"_"&amp;$E87&amp;"_"&amp;Working!$B$13&amp;Working!$B$14,"")</f>
        <v/>
      </c>
      <c r="O87" s="4" t="s">
        <v>228</v>
      </c>
      <c r="P87" s="4" t="s">
        <v>228</v>
      </c>
      <c r="Q87" s="41"/>
      <c r="R87" s="41"/>
      <c r="S87" s="41"/>
      <c r="T87" s="41"/>
      <c r="U87" s="41" t="s">
        <v>228</v>
      </c>
      <c r="V87" s="54"/>
      <c r="AS87"/>
    </row>
    <row r="88" spans="1:45" x14ac:dyDescent="0.3">
      <c r="A88">
        <v>1697</v>
      </c>
      <c r="B88" s="37" t="str">
        <f>VLOOKUP(A88,'Monthly EE List'!A:D,4,0)&amp;" "&amp;VLOOKUP(A88,'Monthly EE List'!A:D,3,0)</f>
        <v>PETER VROUVIDES</v>
      </c>
      <c r="C88" s="38" t="s">
        <v>387</v>
      </c>
      <c r="D88" s="4" t="s">
        <v>599</v>
      </c>
      <c r="E88" t="s">
        <v>85</v>
      </c>
      <c r="F88" t="s">
        <v>217</v>
      </c>
      <c r="G88" s="4" t="s">
        <v>142</v>
      </c>
      <c r="H88" s="4" t="str">
        <f>VLOOKUP(A88,'Monthly EE List'!A:G,7,0)</f>
        <v>A</v>
      </c>
      <c r="J88" s="5"/>
      <c r="L88" s="4" t="str">
        <f t="shared" ca="1" si="1"/>
        <v/>
      </c>
      <c r="M88" s="6" t="str">
        <f>IF(VLOOKUP($C$4,Working!$A$23:$L$52,Working!$F$21,0)="Y",TEXT($C$6,"YYYYMM")&amp;"_"&amp;$E88&amp;"_"&amp;Working!$B$11&amp;Working!$B$12,"")</f>
        <v>201703_AZ1PV_Top15.xlsx</v>
      </c>
      <c r="N88" s="6" t="str">
        <f>IF(VLOOKUP($C$4,Working!$A$23:$L$52,Working!$I$21,0)="Y",TEXT($C$6,"YYYYMM")&amp;"_"&amp;$E88&amp;"_"&amp;Working!$B$13&amp;Working!$B$14,"")</f>
        <v/>
      </c>
      <c r="O88" s="4" t="s">
        <v>228</v>
      </c>
      <c r="P88" s="4" t="s">
        <v>228</v>
      </c>
      <c r="Q88" s="41"/>
      <c r="R88" s="41"/>
      <c r="S88" s="41"/>
      <c r="T88" s="41"/>
      <c r="U88" s="41" t="s">
        <v>228</v>
      </c>
      <c r="V88" s="4" t="s">
        <v>228</v>
      </c>
      <c r="AS88"/>
    </row>
    <row r="89" spans="1:45" x14ac:dyDescent="0.3">
      <c r="A89" s="10">
        <v>1707</v>
      </c>
      <c r="B89" s="37" t="str">
        <f>VLOOKUP(A89,'Monthly EE List'!A:D,4,0)&amp;" "&amp;VLOOKUP(A89,'Monthly EE List'!A:D,3,0)</f>
        <v>SCOTT KENNEDY</v>
      </c>
      <c r="C89" s="38" t="s">
        <v>2709</v>
      </c>
      <c r="D89" s="4" t="s">
        <v>599</v>
      </c>
      <c r="E89" t="s">
        <v>221</v>
      </c>
      <c r="F89" t="s">
        <v>221</v>
      </c>
      <c r="G89" s="4" t="s">
        <v>2715</v>
      </c>
      <c r="H89" s="4" t="str">
        <f>VLOOKUP(A89,'Monthly EE List'!A:G,7,0)</f>
        <v>A</v>
      </c>
      <c r="I89" t="s">
        <v>211</v>
      </c>
      <c r="J89" s="5">
        <v>41191</v>
      </c>
      <c r="K89" t="s">
        <v>2716</v>
      </c>
      <c r="L89" s="4" t="str">
        <f t="shared" ca="1" si="1"/>
        <v>X</v>
      </c>
      <c r="M89" s="6" t="str">
        <f>IF(VLOOKUP($C$4,Working!$A$23:$L$52,Working!$F$21,0)="Y",TEXT($C$6,"YYYYMM")&amp;"_"&amp;$E89&amp;"_"&amp;Working!$B$11&amp;Working!$B$12,"")</f>
        <v>201703_OTTWA_Top15.xlsx</v>
      </c>
      <c r="N89" s="6" t="str">
        <f>IF(VLOOKUP($C$4,Working!$A$23:$L$52,Working!$I$21,0)="Y",TEXT($C$6,"YYYYMM")&amp;"_"&amp;$E89&amp;"_"&amp;Working!$B$13&amp;Working!$B$14,"")</f>
        <v/>
      </c>
      <c r="O89" s="4"/>
      <c r="P89" s="4"/>
      <c r="Q89" s="41"/>
      <c r="R89" s="41"/>
      <c r="S89" s="41"/>
      <c r="T89" s="41"/>
      <c r="U89" s="4"/>
      <c r="V89" s="4"/>
      <c r="W89" s="4" t="s">
        <v>228</v>
      </c>
      <c r="AS89"/>
    </row>
    <row r="90" spans="1:45" x14ac:dyDescent="0.3">
      <c r="A90">
        <v>1708</v>
      </c>
      <c r="B90" s="37" t="str">
        <f>VLOOKUP(A90,'Monthly EE List'!A:D,4,0)&amp;" "&amp;VLOOKUP(A90,'Monthly EE List'!A:D,3,0)</f>
        <v>COLE BEACHAM</v>
      </c>
      <c r="C90" s="38" t="s">
        <v>2392</v>
      </c>
      <c r="D90" s="4" t="s">
        <v>599</v>
      </c>
      <c r="E90" t="s">
        <v>2425</v>
      </c>
      <c r="F90" t="s">
        <v>221</v>
      </c>
      <c r="G90" s="4" t="s">
        <v>142</v>
      </c>
      <c r="H90" s="4" t="str">
        <f>VLOOKUP(A90,'Monthly EE List'!A:G,7,0)</f>
        <v>A</v>
      </c>
      <c r="I90" t="s">
        <v>211</v>
      </c>
      <c r="J90" s="5">
        <v>40842</v>
      </c>
      <c r="K90" t="s">
        <v>147</v>
      </c>
      <c r="L90" s="4" t="str">
        <f t="shared" ca="1" si="1"/>
        <v/>
      </c>
      <c r="M90" s="6" t="str">
        <f>IF(VLOOKUP($C$4,Working!$A$23:$L$52,Working!$F$21,0)="Y",TEXT($C$6,"YYYYMM")&amp;"_"&amp;$E90&amp;"_"&amp;Working!$B$11&amp;Working!$B$12,"")</f>
        <v>201703_CZ3CB_Top15.xlsx</v>
      </c>
      <c r="N90" s="6" t="str">
        <f>IF(VLOOKUP($C$4,Working!$A$23:$L$52,Working!$I$21,0)="Y",TEXT($C$6,"YYYYMM")&amp;"_"&amp;$E90&amp;"_"&amp;Working!$B$13&amp;Working!$B$14,"")</f>
        <v/>
      </c>
      <c r="O90" s="4" t="s">
        <v>228</v>
      </c>
      <c r="P90" s="4" t="s">
        <v>228</v>
      </c>
      <c r="Q90" s="41"/>
      <c r="R90" s="41"/>
      <c r="S90" s="41"/>
      <c r="T90" s="41"/>
      <c r="U90" s="41" t="s">
        <v>228</v>
      </c>
      <c r="V90" s="54"/>
      <c r="AS90"/>
    </row>
    <row r="91" spans="1:45" x14ac:dyDescent="0.3">
      <c r="A91">
        <v>1710</v>
      </c>
      <c r="B91" s="37" t="str">
        <f>VLOOKUP(A91,'Monthly EE List'!A:D,4,0)&amp;" "&amp;VLOOKUP(A91,'Monthly EE List'!A:D,3,0)</f>
        <v>GREG BUDGELL</v>
      </c>
      <c r="C91" s="38" t="s">
        <v>279</v>
      </c>
      <c r="D91" s="4" t="s">
        <v>599</v>
      </c>
      <c r="E91">
        <v>61308</v>
      </c>
      <c r="F91" t="s">
        <v>221</v>
      </c>
      <c r="G91" s="4" t="s">
        <v>244</v>
      </c>
      <c r="H91" s="4" t="str">
        <f>VLOOKUP(A91,'Monthly EE List'!A:G,7,0)</f>
        <v>A</v>
      </c>
      <c r="J91" s="5"/>
      <c r="L91" s="4" t="str">
        <f t="shared" ca="1" si="1"/>
        <v/>
      </c>
      <c r="M91" s="6" t="str">
        <f>IF(VLOOKUP($C$4,Working!$A$23:$L$52,Working!$F$21,0)="Y",TEXT($C$6,"YYYYMM")&amp;"_"&amp;$E91&amp;"_"&amp;Working!$B$11&amp;Working!$B$12,"")</f>
        <v>201703_61308_Top15.xlsx</v>
      </c>
      <c r="N91" s="6" t="str">
        <f>IF(VLOOKUP($C$4,Working!$A$23:$L$52,Working!$I$21,0)="Y",TEXT($C$6,"YYYYMM")&amp;"_"&amp;$E91&amp;"_"&amp;Working!$B$13&amp;Working!$B$14,"")</f>
        <v/>
      </c>
      <c r="O91" s="4"/>
      <c r="P91" s="4"/>
      <c r="Q91" s="41" t="s">
        <v>228</v>
      </c>
      <c r="R91" s="41"/>
      <c r="S91" s="41"/>
      <c r="T91" s="41"/>
      <c r="U91" s="41"/>
      <c r="V91" s="4"/>
      <c r="AS91"/>
    </row>
    <row r="92" spans="1:45" x14ac:dyDescent="0.3">
      <c r="A92">
        <v>1738</v>
      </c>
      <c r="B92" s="37" t="str">
        <f>VLOOKUP(A92,'Monthly EE List'!A:D,4,0)&amp;" "&amp;VLOOKUP(A92,'Monthly EE List'!A:D,3,0)</f>
        <v>CHARLOTTE STEEL</v>
      </c>
      <c r="C92" s="38" t="s">
        <v>390</v>
      </c>
      <c r="D92" s="4" t="s">
        <v>599</v>
      </c>
      <c r="E92" t="s">
        <v>88</v>
      </c>
      <c r="F92" t="s">
        <v>215</v>
      </c>
      <c r="G92" s="4" t="s">
        <v>142</v>
      </c>
      <c r="H92" s="4" t="str">
        <f>VLOOKUP(A92,'Monthly EE List'!A:G,7,0)</f>
        <v>A</v>
      </c>
      <c r="I92" t="s">
        <v>212</v>
      </c>
      <c r="J92" s="5">
        <v>41001</v>
      </c>
      <c r="K92" t="s">
        <v>2521</v>
      </c>
      <c r="L92" s="4" t="str">
        <f t="shared" ca="1" si="1"/>
        <v/>
      </c>
      <c r="M92" s="6" t="str">
        <f>IF(VLOOKUP($C$4,Working!$A$23:$L$52,Working!$F$21,0)="Y",TEXT($C$6,"YYYYMM")&amp;"_"&amp;$E92&amp;"_"&amp;Working!$B$11&amp;Working!$B$12,"")</f>
        <v>201703_CZ5CS_Top15.xlsx</v>
      </c>
      <c r="N92" s="6" t="str">
        <f>IF(VLOOKUP($C$4,Working!$A$23:$L$52,Working!$I$21,0)="Y",TEXT($C$6,"YYYYMM")&amp;"_"&amp;$E92&amp;"_"&amp;Working!$B$13&amp;Working!$B$14,"")</f>
        <v/>
      </c>
      <c r="O92" s="4" t="s">
        <v>228</v>
      </c>
      <c r="P92" s="4" t="s">
        <v>228</v>
      </c>
      <c r="Q92" s="41"/>
      <c r="R92" s="41"/>
      <c r="S92" s="41"/>
      <c r="T92" s="41"/>
      <c r="U92" s="41" t="s">
        <v>228</v>
      </c>
      <c r="V92" s="54"/>
      <c r="AS92"/>
    </row>
    <row r="93" spans="1:45" x14ac:dyDescent="0.3">
      <c r="A93">
        <v>1741</v>
      </c>
      <c r="B93" s="37" t="str">
        <f>VLOOKUP(A93,'Monthly EE List'!A:D,4,0)&amp;" "&amp;VLOOKUP(A93,'Monthly EE List'!A:D,3,0)</f>
        <v>DARIUSZ ZEMETRO</v>
      </c>
      <c r="C93" s="38" t="s">
        <v>260</v>
      </c>
      <c r="D93" s="4" t="s">
        <v>599</v>
      </c>
      <c r="E93">
        <v>20410</v>
      </c>
      <c r="F93" t="s">
        <v>216</v>
      </c>
      <c r="G93" s="4" t="s">
        <v>244</v>
      </c>
      <c r="H93" s="4" t="str">
        <f>VLOOKUP(A93,'Monthly EE List'!A:G,7,0)</f>
        <v>A</v>
      </c>
      <c r="I93" t="s">
        <v>212</v>
      </c>
      <c r="J93" s="5">
        <v>41744</v>
      </c>
      <c r="L93" s="4" t="str">
        <f t="shared" ca="1" si="1"/>
        <v/>
      </c>
      <c r="M93" s="6" t="str">
        <f>IF(VLOOKUP($C$4,Working!$A$23:$L$52,Working!$F$21,0)="Y",TEXT($C$6,"YYYYMM")&amp;"_"&amp;$E93&amp;"_"&amp;Working!$B$11&amp;Working!$B$12,"")</f>
        <v>201703_20410_Top15.xlsx</v>
      </c>
      <c r="N93" s="6" t="str">
        <f>IF(VLOOKUP($C$4,Working!$A$23:$L$52,Working!$I$21,0)="Y",TEXT($C$6,"YYYYMM")&amp;"_"&amp;$E93&amp;"_"&amp;Working!$B$13&amp;Working!$B$14,"")</f>
        <v/>
      </c>
      <c r="O93" s="4"/>
      <c r="P93" s="4"/>
      <c r="Q93" s="41" t="s">
        <v>228</v>
      </c>
      <c r="R93" s="41"/>
      <c r="S93" s="41"/>
      <c r="T93" s="41"/>
      <c r="U93" s="41"/>
      <c r="V93" s="4"/>
      <c r="AS93"/>
    </row>
    <row r="94" spans="1:45" x14ac:dyDescent="0.3">
      <c r="A94">
        <v>1749</v>
      </c>
      <c r="B94" s="37" t="str">
        <f>VLOOKUP(A94,'Monthly EE List'!A:D,4,0)&amp;" "&amp;VLOOKUP(A94,'Monthly EE List'!A:D,3,0)</f>
        <v>JASON BECHARD</v>
      </c>
      <c r="C94" s="38" t="s">
        <v>285</v>
      </c>
      <c r="D94" s="4" t="s">
        <v>599</v>
      </c>
      <c r="E94">
        <v>51909</v>
      </c>
      <c r="F94" t="s">
        <v>218</v>
      </c>
      <c r="G94" s="4" t="s">
        <v>244</v>
      </c>
      <c r="H94" s="4" t="str">
        <f>VLOOKUP(A94,'Monthly EE List'!A:G,7,0)</f>
        <v>A</v>
      </c>
      <c r="I94" t="s">
        <v>212</v>
      </c>
      <c r="J94" s="5">
        <v>42621</v>
      </c>
      <c r="K94" t="s">
        <v>571</v>
      </c>
      <c r="L94" s="4" t="str">
        <f t="shared" ca="1" si="1"/>
        <v/>
      </c>
      <c r="M94" s="6" t="str">
        <f>IF(VLOOKUP($C$4,Working!$A$23:$L$52,Working!$F$21,0)="Y",TEXT($C$6,"YYYYMM")&amp;"_"&amp;$E94&amp;"_"&amp;Working!$B$11&amp;Working!$B$12,"")</f>
        <v>201703_51909_Top15.xlsx</v>
      </c>
      <c r="N94" s="6" t="str">
        <f>IF(VLOOKUP($C$4,Working!$A$23:$L$52,Working!$I$21,0)="Y",TEXT($C$6,"YYYYMM")&amp;"_"&amp;$E94&amp;"_"&amp;Working!$B$13&amp;Working!$B$14,"")</f>
        <v/>
      </c>
      <c r="O94" s="4"/>
      <c r="P94" s="4"/>
      <c r="Q94" s="41" t="s">
        <v>228</v>
      </c>
      <c r="R94" s="41"/>
      <c r="S94" s="41"/>
      <c r="T94" s="41"/>
      <c r="U94" s="41"/>
      <c r="V94" s="4"/>
      <c r="AS94"/>
    </row>
    <row r="95" spans="1:45" x14ac:dyDescent="0.3">
      <c r="A95">
        <v>1762</v>
      </c>
      <c r="B95" s="37" t="str">
        <f>VLOOKUP(A95,'Monthly EE List'!A:D,4,0)&amp;" "&amp;VLOOKUP(A95,'Monthly EE List'!A:D,3,0)</f>
        <v>JEFF ADAMSKI</v>
      </c>
      <c r="C95" s="38" t="s">
        <v>393</v>
      </c>
      <c r="D95" s="4" t="s">
        <v>599</v>
      </c>
      <c r="E95" t="s">
        <v>91</v>
      </c>
      <c r="F95" t="s">
        <v>215</v>
      </c>
      <c r="G95" s="4" t="s">
        <v>3008</v>
      </c>
      <c r="H95" s="4" t="str">
        <f>VLOOKUP(A95,'Monthly EE List'!A:G,7,0)</f>
        <v>A</v>
      </c>
      <c r="J95" s="5"/>
      <c r="K95" t="s">
        <v>2501</v>
      </c>
      <c r="L95" s="4" t="str">
        <f t="shared" ca="1" si="1"/>
        <v/>
      </c>
      <c r="M95" s="6" t="str">
        <f>IF(VLOOKUP($C$4,Working!$A$23:$L$52,Working!$F$21,0)="Y",TEXT($C$6,"YYYYMM")&amp;"_"&amp;$E95&amp;"_"&amp;Working!$B$11&amp;Working!$B$12,"")</f>
        <v>201703_CZ8JA_Top15.xlsx</v>
      </c>
      <c r="N95" s="6" t="str">
        <f>IF(VLOOKUP($C$4,Working!$A$23:$L$52,Working!$I$21,0)="Y",TEXT($C$6,"YYYYMM")&amp;"_"&amp;$E95&amp;"_"&amp;Working!$B$13&amp;Working!$B$14,"")</f>
        <v/>
      </c>
      <c r="O95" s="4" t="s">
        <v>228</v>
      </c>
      <c r="P95" s="4" t="s">
        <v>228</v>
      </c>
      <c r="Q95" s="41"/>
      <c r="R95" s="41"/>
      <c r="S95" s="41"/>
      <c r="T95" s="41"/>
      <c r="U95" s="41" t="s">
        <v>228</v>
      </c>
      <c r="V95" s="54"/>
      <c r="AS95"/>
    </row>
    <row r="96" spans="1:45" x14ac:dyDescent="0.3">
      <c r="A96">
        <v>1765</v>
      </c>
      <c r="B96" s="37" t="str">
        <f>VLOOKUP(A96,'Monthly EE List'!A:D,4,0)&amp;" "&amp;VLOOKUP(A96,'Monthly EE List'!A:D,3,0)</f>
        <v>KEVIN SAKELL</v>
      </c>
      <c r="C96" s="38" t="s">
        <v>294</v>
      </c>
      <c r="D96" s="4" t="s">
        <v>599</v>
      </c>
      <c r="E96">
        <v>61320</v>
      </c>
      <c r="F96" t="s">
        <v>221</v>
      </c>
      <c r="G96" s="4" t="s">
        <v>244</v>
      </c>
      <c r="H96" s="4" t="str">
        <f>VLOOKUP(A96,'Monthly EE List'!A:G,7,0)</f>
        <v>A</v>
      </c>
      <c r="I96" t="s">
        <v>212</v>
      </c>
      <c r="J96" s="5">
        <v>42038</v>
      </c>
      <c r="K96" t="s">
        <v>2366</v>
      </c>
      <c r="L96" s="4" t="str">
        <f t="shared" ca="1" si="1"/>
        <v/>
      </c>
      <c r="M96" s="6" t="str">
        <f>IF(VLOOKUP($C$4,Working!$A$23:$L$52,Working!$F$21,0)="Y",TEXT($C$6,"YYYYMM")&amp;"_"&amp;$E96&amp;"_"&amp;Working!$B$11&amp;Working!$B$12,"")</f>
        <v>201703_61320_Top15.xlsx</v>
      </c>
      <c r="N96" s="6" t="str">
        <f>IF(VLOOKUP($C$4,Working!$A$23:$L$52,Working!$I$21,0)="Y",TEXT($C$6,"YYYYMM")&amp;"_"&amp;$E96&amp;"_"&amp;Working!$B$13&amp;Working!$B$14,"")</f>
        <v/>
      </c>
      <c r="O96" s="4"/>
      <c r="P96" s="4"/>
      <c r="Q96" s="41" t="s">
        <v>228</v>
      </c>
      <c r="R96" s="41"/>
      <c r="S96" s="41"/>
      <c r="T96" s="41"/>
      <c r="U96" s="41"/>
      <c r="V96" s="4"/>
      <c r="AS96"/>
    </row>
    <row r="97" spans="1:45" x14ac:dyDescent="0.3">
      <c r="A97">
        <v>1767</v>
      </c>
      <c r="B97" s="37" t="str">
        <f>VLOOKUP(A97,'Monthly EE List'!A:D,4,0)&amp;" "&amp;VLOOKUP(A97,'Monthly EE List'!A:D,3,0)</f>
        <v>JONATHAN MCKNIGHT</v>
      </c>
      <c r="C97" s="38" t="s">
        <v>394</v>
      </c>
      <c r="D97" s="4" t="s">
        <v>599</v>
      </c>
      <c r="E97" t="s">
        <v>92</v>
      </c>
      <c r="F97" t="s">
        <v>219</v>
      </c>
      <c r="G97" s="4" t="s">
        <v>142</v>
      </c>
      <c r="H97" s="4" t="str">
        <f>VLOOKUP(A97,'Monthly EE List'!A:G,7,0)</f>
        <v>A</v>
      </c>
      <c r="J97" s="5"/>
      <c r="K97" t="s">
        <v>143</v>
      </c>
      <c r="L97" s="4" t="str">
        <f t="shared" ca="1" si="1"/>
        <v/>
      </c>
      <c r="M97" s="6" t="str">
        <f>IF(VLOOKUP($C$4,Working!$A$23:$L$52,Working!$F$21,0)="Y",TEXT($C$6,"YYYYMM")&amp;"_"&amp;$E97&amp;"_"&amp;Working!$B$11&amp;Working!$B$12,"")</f>
        <v>201703_QZ7JM_Top15.xlsx</v>
      </c>
      <c r="N97" s="6" t="str">
        <f>IF(VLOOKUP($C$4,Working!$A$23:$L$52,Working!$I$21,0)="Y",TEXT($C$6,"YYYYMM")&amp;"_"&amp;$E97&amp;"_"&amp;Working!$B$13&amp;Working!$B$14,"")</f>
        <v/>
      </c>
      <c r="O97" s="4" t="s">
        <v>228</v>
      </c>
      <c r="P97" s="54"/>
      <c r="Q97" s="41"/>
      <c r="R97" s="41"/>
      <c r="S97" s="41"/>
      <c r="T97" s="41"/>
      <c r="U97" s="41" t="s">
        <v>228</v>
      </c>
      <c r="V97" s="4" t="s">
        <v>228</v>
      </c>
      <c r="AS97"/>
    </row>
    <row r="98" spans="1:45" x14ac:dyDescent="0.3">
      <c r="A98">
        <v>1770</v>
      </c>
      <c r="B98" s="37" t="str">
        <f>VLOOKUP(A98,'Monthly EE List'!A:D,4,0)&amp;" "&amp;VLOOKUP(A98,'Monthly EE List'!A:D,3,0)</f>
        <v>PAUL KARNAFEL</v>
      </c>
      <c r="C98" s="38" t="s">
        <v>308</v>
      </c>
      <c r="D98" s="4" t="s">
        <v>599</v>
      </c>
      <c r="E98">
        <v>20411</v>
      </c>
      <c r="F98" t="s">
        <v>216</v>
      </c>
      <c r="G98" s="4" t="s">
        <v>244</v>
      </c>
      <c r="H98" s="4" t="str">
        <f>VLOOKUP(A98,'Monthly EE List'!A:G,7,0)</f>
        <v>A</v>
      </c>
      <c r="I98" t="s">
        <v>212</v>
      </c>
      <c r="J98" s="5">
        <v>41074</v>
      </c>
      <c r="K98" t="s">
        <v>2611</v>
      </c>
      <c r="L98" s="4" t="str">
        <f t="shared" ca="1" si="1"/>
        <v/>
      </c>
      <c r="M98" s="6" t="str">
        <f>IF(VLOOKUP($C$4,Working!$A$23:$L$52,Working!$F$21,0)="Y",TEXT($C$6,"YYYYMM")&amp;"_"&amp;$E98&amp;"_"&amp;Working!$B$11&amp;Working!$B$12,"")</f>
        <v>201703_20411_Top15.xlsx</v>
      </c>
      <c r="N98" s="6" t="str">
        <f>IF(VLOOKUP($C$4,Working!$A$23:$L$52,Working!$I$21,0)="Y",TEXT($C$6,"YYYYMM")&amp;"_"&amp;$E98&amp;"_"&amp;Working!$B$13&amp;Working!$B$14,"")</f>
        <v/>
      </c>
      <c r="O98" s="4"/>
      <c r="P98" s="4"/>
      <c r="Q98" s="41"/>
      <c r="R98" s="41"/>
      <c r="S98" s="41"/>
      <c r="T98" s="41"/>
      <c r="U98" s="41"/>
      <c r="V98" s="4"/>
      <c r="AS98"/>
    </row>
    <row r="99" spans="1:45" x14ac:dyDescent="0.3">
      <c r="A99">
        <v>1775</v>
      </c>
      <c r="B99" s="37" t="str">
        <f>VLOOKUP(A99,'Monthly EE List'!A:D,4,0)&amp;" "&amp;VLOOKUP(A99,'Monthly EE List'!A:D,3,0)</f>
        <v>ERIC K-LAFLAMME</v>
      </c>
      <c r="C99" s="38" t="s">
        <v>2393</v>
      </c>
      <c r="D99" s="4" t="s">
        <v>599</v>
      </c>
      <c r="E99" s="10">
        <v>41815</v>
      </c>
      <c r="F99" t="s">
        <v>219</v>
      </c>
      <c r="G99" s="4" t="s">
        <v>244</v>
      </c>
      <c r="H99" s="4" t="str">
        <f>VLOOKUP(A99,'Monthly EE List'!A:G,7,0)</f>
        <v>A</v>
      </c>
      <c r="I99" t="s">
        <v>212</v>
      </c>
      <c r="J99" s="5">
        <v>41109</v>
      </c>
      <c r="K99" t="s">
        <v>2694</v>
      </c>
      <c r="L99" s="4" t="str">
        <f t="shared" ca="1" si="1"/>
        <v/>
      </c>
      <c r="M99" s="6" t="str">
        <f>IF(VLOOKUP($C$4,Working!$A$23:$L$52,Working!$F$21,0)="Y",TEXT($C$6,"YYYYMM")&amp;"_"&amp;$E99&amp;"_"&amp;Working!$B$11&amp;Working!$B$12,"")</f>
        <v>201703_41815_Top15.xlsx</v>
      </c>
      <c r="N99" s="6" t="str">
        <f>IF(VLOOKUP($C$4,Working!$A$23:$L$52,Working!$I$21,0)="Y",TEXT($C$6,"YYYYMM")&amp;"_"&amp;$E99&amp;"_"&amp;Working!$B$13&amp;Working!$B$14,"")</f>
        <v/>
      </c>
      <c r="O99" s="4"/>
      <c r="P99" s="4"/>
      <c r="Q99" s="54"/>
      <c r="R99" s="41"/>
      <c r="S99" s="41"/>
      <c r="T99" s="41"/>
      <c r="U99" s="41"/>
      <c r="V99" s="4"/>
      <c r="AS99"/>
    </row>
    <row r="100" spans="1:45" x14ac:dyDescent="0.3">
      <c r="A100">
        <v>1803</v>
      </c>
      <c r="B100" s="37" t="str">
        <f>VLOOKUP(A100,'Monthly EE List'!A:D,4,0)&amp;" "&amp;VLOOKUP(A100,'Monthly EE List'!A:D,3,0)</f>
        <v>JAMIE CHIASSON</v>
      </c>
      <c r="C100" s="38" t="s">
        <v>284</v>
      </c>
      <c r="D100" s="4" t="s">
        <v>599</v>
      </c>
      <c r="E100">
        <v>50605</v>
      </c>
      <c r="F100" t="s">
        <v>227</v>
      </c>
      <c r="G100" s="4" t="s">
        <v>244</v>
      </c>
      <c r="H100" s="4" t="str">
        <f>VLOOKUP(A100,'Monthly EE List'!A:G,7,0)</f>
        <v>A</v>
      </c>
      <c r="J100" s="5"/>
      <c r="L100" s="4" t="str">
        <f t="shared" ca="1" si="1"/>
        <v/>
      </c>
      <c r="M100" s="6" t="str">
        <f>IF(VLOOKUP($C$4,Working!$A$23:$L$52,Working!$F$21,0)="Y",TEXT($C$6,"YYYYMM")&amp;"_"&amp;$E100&amp;"_"&amp;Working!$B$11&amp;Working!$B$12,"")</f>
        <v>201703_50605_Top15.xlsx</v>
      </c>
      <c r="N100" s="6" t="str">
        <f>IF(VLOOKUP($C$4,Working!$A$23:$L$52,Working!$I$21,0)="Y",TEXT($C$6,"YYYYMM")&amp;"_"&amp;$E100&amp;"_"&amp;Working!$B$13&amp;Working!$B$14,"")</f>
        <v/>
      </c>
      <c r="O100" s="4"/>
      <c r="P100" s="4"/>
      <c r="Q100" s="41" t="s">
        <v>228</v>
      </c>
      <c r="R100" s="41"/>
      <c r="S100" s="41"/>
      <c r="T100" s="41"/>
      <c r="U100" s="41"/>
      <c r="V100" s="4"/>
      <c r="AS100"/>
    </row>
    <row r="101" spans="1:45" x14ac:dyDescent="0.3">
      <c r="A101">
        <v>1823</v>
      </c>
      <c r="B101" s="37" t="str">
        <f>VLOOKUP(A101,'Monthly EE List'!A:D,4,0)&amp;" "&amp;VLOOKUP(A101,'Monthly EE List'!A:D,3,0)</f>
        <v>DENIS OUELLET</v>
      </c>
      <c r="C101" s="38" t="s">
        <v>396</v>
      </c>
      <c r="D101" s="4" t="s">
        <v>599</v>
      </c>
      <c r="E101" t="s">
        <v>94</v>
      </c>
      <c r="F101" t="s">
        <v>219</v>
      </c>
      <c r="G101" s="4" t="s">
        <v>142</v>
      </c>
      <c r="H101" s="4" t="str">
        <f>VLOOKUP(A101,'Monthly EE List'!A:G,7,0)</f>
        <v>A</v>
      </c>
      <c r="J101" s="5"/>
      <c r="L101" s="4" t="str">
        <f t="shared" ca="1" si="1"/>
        <v/>
      </c>
      <c r="M101" s="6" t="str">
        <f>IF(VLOOKUP($C$4,Working!$A$23:$L$52,Working!$F$21,0)="Y",TEXT($C$6,"YYYYMM")&amp;"_"&amp;$E101&amp;"_"&amp;Working!$B$11&amp;Working!$B$12,"")</f>
        <v>201703_QZ7DO_Top15.xlsx</v>
      </c>
      <c r="N101" s="6" t="str">
        <f>IF(VLOOKUP($C$4,Working!$A$23:$L$52,Working!$I$21,0)="Y",TEXT($C$6,"YYYYMM")&amp;"_"&amp;$E101&amp;"_"&amp;Working!$B$13&amp;Working!$B$14,"")</f>
        <v/>
      </c>
      <c r="O101" s="4" t="s">
        <v>228</v>
      </c>
      <c r="P101" s="4" t="s">
        <v>228</v>
      </c>
      <c r="Q101" s="41"/>
      <c r="R101" s="41"/>
      <c r="S101" s="41"/>
      <c r="T101" s="41"/>
      <c r="U101" s="4" t="s">
        <v>228</v>
      </c>
      <c r="V101" s="4" t="s">
        <v>228</v>
      </c>
      <c r="W101" s="41"/>
      <c r="AS101"/>
    </row>
    <row r="102" spans="1:45" x14ac:dyDescent="0.3">
      <c r="A102">
        <v>1828</v>
      </c>
      <c r="B102" s="37" t="str">
        <f>VLOOKUP(A102,'Monthly EE List'!A:D,4,0)&amp;" "&amp;VLOOKUP(A102,'Monthly EE List'!A:D,3,0)</f>
        <v>TONY AIELLO</v>
      </c>
      <c r="C102" s="38" t="s">
        <v>397</v>
      </c>
      <c r="D102" s="4" t="s">
        <v>599</v>
      </c>
      <c r="E102" t="s">
        <v>95</v>
      </c>
      <c r="F102" t="s">
        <v>216</v>
      </c>
      <c r="G102" s="4" t="s">
        <v>142</v>
      </c>
      <c r="H102" s="4" t="str">
        <f>VLOOKUP(A102,'Monthly EE List'!A:G,7,0)</f>
        <v>A</v>
      </c>
      <c r="J102" s="5"/>
      <c r="L102" s="4" t="str">
        <f t="shared" ca="1" si="1"/>
        <v/>
      </c>
      <c r="M102" s="6" t="str">
        <f>IF(VLOOKUP($C$4,Working!$A$23:$L$52,Working!$F$21,0)="Y",TEXT($C$6,"YYYYMM")&amp;"_"&amp;$E102&amp;"_"&amp;Working!$B$11&amp;Working!$B$12,"")</f>
        <v>201703_CZ5TA_Top15.xlsx</v>
      </c>
      <c r="N102" s="6" t="str">
        <f>IF(VLOOKUP($C$4,Working!$A$23:$L$52,Working!$I$21,0)="Y",TEXT($C$6,"YYYYMM")&amp;"_"&amp;$E102&amp;"_"&amp;Working!$B$13&amp;Working!$B$14,"")</f>
        <v/>
      </c>
      <c r="O102" s="4" t="s">
        <v>228</v>
      </c>
      <c r="P102" s="4" t="s">
        <v>228</v>
      </c>
      <c r="Q102" s="41"/>
      <c r="R102" s="41"/>
      <c r="S102" s="41"/>
      <c r="T102" s="41"/>
      <c r="U102" s="41" t="s">
        <v>228</v>
      </c>
      <c r="V102" s="54"/>
      <c r="AS102"/>
    </row>
    <row r="103" spans="1:45" x14ac:dyDescent="0.3">
      <c r="A103">
        <v>1834</v>
      </c>
      <c r="B103" s="37" t="str">
        <f>VLOOKUP(A103,'Monthly EE List'!A:D,4,0)&amp;" "&amp;VLOOKUP(A103,'Monthly EE List'!A:D,3,0)</f>
        <v>LUCY BODURIS</v>
      </c>
      <c r="C103" s="38" t="s">
        <v>398</v>
      </c>
      <c r="D103" s="4" t="s">
        <v>599</v>
      </c>
      <c r="E103" t="s">
        <v>96</v>
      </c>
      <c r="F103" t="s">
        <v>215</v>
      </c>
      <c r="G103" s="4" t="s">
        <v>142</v>
      </c>
      <c r="H103" s="4" t="str">
        <f>VLOOKUP(A103,'Monthly EE List'!A:G,7,0)</f>
        <v>A</v>
      </c>
      <c r="J103" s="5"/>
      <c r="L103" s="4" t="str">
        <f t="shared" ca="1" si="1"/>
        <v/>
      </c>
      <c r="M103" s="6" t="str">
        <f>IF(VLOOKUP($C$4,Working!$A$23:$L$52,Working!$F$21,0)="Y",TEXT($C$6,"YYYYMM")&amp;"_"&amp;$E103&amp;"_"&amp;Working!$B$11&amp;Working!$B$12,"")</f>
        <v>201703_CZ2LB_Top15.xlsx</v>
      </c>
      <c r="N103" s="6" t="str">
        <f>IF(VLOOKUP($C$4,Working!$A$23:$L$52,Working!$I$21,0)="Y",TEXT($C$6,"YYYYMM")&amp;"_"&amp;$E103&amp;"_"&amp;Working!$B$13&amp;Working!$B$14,"")</f>
        <v/>
      </c>
      <c r="O103" s="4" t="s">
        <v>228</v>
      </c>
      <c r="P103" s="4" t="s">
        <v>228</v>
      </c>
      <c r="Q103" s="41"/>
      <c r="R103" s="41"/>
      <c r="S103" s="41"/>
      <c r="T103" s="41"/>
      <c r="U103" s="41" t="s">
        <v>228</v>
      </c>
      <c r="V103" s="54"/>
      <c r="AS103"/>
    </row>
    <row r="104" spans="1:45" x14ac:dyDescent="0.3">
      <c r="A104">
        <v>1835</v>
      </c>
      <c r="B104" s="37" t="str">
        <f>VLOOKUP(A104,'Monthly EE List'!A:D,4,0)&amp;" "&amp;VLOOKUP(A104,'Monthly EE List'!A:D,3,0)</f>
        <v>GRACE BROHMAN</v>
      </c>
      <c r="C104" s="38" t="s">
        <v>399</v>
      </c>
      <c r="D104" s="4" t="s">
        <v>599</v>
      </c>
      <c r="E104" t="s">
        <v>97</v>
      </c>
      <c r="F104" t="s">
        <v>215</v>
      </c>
      <c r="G104" s="4" t="s">
        <v>142</v>
      </c>
      <c r="H104" s="4" t="str">
        <f>VLOOKUP(A104,'Monthly EE List'!A:G,7,0)</f>
        <v>A</v>
      </c>
      <c r="J104" s="5"/>
      <c r="L104" s="4" t="str">
        <f t="shared" ca="1" si="1"/>
        <v/>
      </c>
      <c r="M104" s="6" t="str">
        <f>IF(VLOOKUP($C$4,Working!$A$23:$L$52,Working!$F$21,0)="Y",TEXT($C$6,"YYYYMM")&amp;"_"&amp;$E104&amp;"_"&amp;Working!$B$11&amp;Working!$B$12,"")</f>
        <v>201703_CZ2GB_Top15.xlsx</v>
      </c>
      <c r="N104" s="6" t="str">
        <f>IF(VLOOKUP($C$4,Working!$A$23:$L$52,Working!$I$21,0)="Y",TEXT($C$6,"YYYYMM")&amp;"_"&amp;$E104&amp;"_"&amp;Working!$B$13&amp;Working!$B$14,"")</f>
        <v/>
      </c>
      <c r="O104" s="4" t="s">
        <v>228</v>
      </c>
      <c r="P104" s="4" t="s">
        <v>228</v>
      </c>
      <c r="Q104" s="41"/>
      <c r="R104" s="41"/>
      <c r="S104" s="41"/>
      <c r="T104" s="41"/>
      <c r="U104" s="41" t="s">
        <v>228</v>
      </c>
      <c r="V104" s="54"/>
      <c r="AS104"/>
    </row>
    <row r="105" spans="1:45" x14ac:dyDescent="0.3">
      <c r="A105">
        <v>1836</v>
      </c>
      <c r="B105" s="37" t="str">
        <f>VLOOKUP(A105,'Monthly EE List'!A:D,4,0)&amp;" "&amp;VLOOKUP(A105,'Monthly EE List'!A:D,3,0)</f>
        <v>LIANNE HOGARTH</v>
      </c>
      <c r="C105" s="38" t="s">
        <v>400</v>
      </c>
      <c r="D105" s="4" t="s">
        <v>599</v>
      </c>
      <c r="E105" t="s">
        <v>98</v>
      </c>
      <c r="F105" t="s">
        <v>215</v>
      </c>
      <c r="G105" s="4" t="s">
        <v>142</v>
      </c>
      <c r="H105" s="4" t="str">
        <f>VLOOKUP(A105,'Monthly EE List'!A:G,7,0)</f>
        <v>A</v>
      </c>
      <c r="J105" s="5"/>
      <c r="L105" s="4" t="str">
        <f t="shared" ca="1" si="1"/>
        <v/>
      </c>
      <c r="M105" s="6" t="str">
        <f>IF(VLOOKUP($C$4,Working!$A$23:$L$52,Working!$F$21,0)="Y",TEXT($C$6,"YYYYMM")&amp;"_"&amp;$E105&amp;"_"&amp;Working!$B$11&amp;Working!$B$12,"")</f>
        <v>201703_CZ2LH_Top15.xlsx</v>
      </c>
      <c r="N105" s="6" t="str">
        <f>IF(VLOOKUP($C$4,Working!$A$23:$L$52,Working!$I$21,0)="Y",TEXT($C$6,"YYYYMM")&amp;"_"&amp;$E105&amp;"_"&amp;Working!$B$13&amp;Working!$B$14,"")</f>
        <v/>
      </c>
      <c r="O105" s="4" t="s">
        <v>228</v>
      </c>
      <c r="P105" s="4" t="s">
        <v>228</v>
      </c>
      <c r="Q105" s="41"/>
      <c r="R105" s="41"/>
      <c r="S105" s="41"/>
      <c r="T105" s="41"/>
      <c r="U105" s="41" t="s">
        <v>228</v>
      </c>
      <c r="V105" s="54"/>
      <c r="AS105"/>
    </row>
    <row r="106" spans="1:45" x14ac:dyDescent="0.3">
      <c r="A106">
        <v>1839</v>
      </c>
      <c r="B106" s="37" t="str">
        <f>VLOOKUP(A106,'Monthly EE List'!A:D,4,0)&amp;" "&amp;VLOOKUP(A106,'Monthly EE List'!A:D,3,0)</f>
        <v>IAN WALKER</v>
      </c>
      <c r="C106" s="38" t="s">
        <v>282</v>
      </c>
      <c r="D106" s="4" t="s">
        <v>599</v>
      </c>
      <c r="E106">
        <v>41657</v>
      </c>
      <c r="F106" t="s">
        <v>215</v>
      </c>
      <c r="G106" s="4" t="s">
        <v>244</v>
      </c>
      <c r="H106" s="4" t="str">
        <f>VLOOKUP(A106,'Monthly EE List'!A:G,7,0)</f>
        <v>A</v>
      </c>
      <c r="J106" s="5"/>
      <c r="L106" s="4" t="str">
        <f t="shared" ca="1" si="1"/>
        <v/>
      </c>
      <c r="M106" s="6" t="str">
        <f>IF(VLOOKUP($C$4,Working!$A$23:$L$52,Working!$F$21,0)="Y",TEXT($C$6,"YYYYMM")&amp;"_"&amp;$E106&amp;"_"&amp;Working!$B$11&amp;Working!$B$12,"")</f>
        <v>201703_41657_Top15.xlsx</v>
      </c>
      <c r="N106" s="6" t="str">
        <f>IF(VLOOKUP($C$4,Working!$A$23:$L$52,Working!$I$21,0)="Y",TEXT($C$6,"YYYYMM")&amp;"_"&amp;$E106&amp;"_"&amp;Working!$B$13&amp;Working!$B$14,"")</f>
        <v/>
      </c>
      <c r="O106" s="4"/>
      <c r="P106" s="4"/>
      <c r="Q106" s="41" t="s">
        <v>228</v>
      </c>
      <c r="R106" s="41"/>
      <c r="S106" s="41"/>
      <c r="T106" s="41"/>
      <c r="U106" s="41"/>
      <c r="V106" s="4"/>
      <c r="AS106"/>
    </row>
    <row r="107" spans="1:45" x14ac:dyDescent="0.3">
      <c r="A107">
        <v>1847</v>
      </c>
      <c r="B107" s="37" t="str">
        <f>VLOOKUP(A107,'Monthly EE List'!A:D,4,0)&amp;" "&amp;VLOOKUP(A107,'Monthly EE List'!A:D,3,0)</f>
        <v>ANTHONY POLINO</v>
      </c>
      <c r="C107" s="38" t="s">
        <v>2395</v>
      </c>
      <c r="D107" s="4" t="s">
        <v>599</v>
      </c>
      <c r="E107">
        <v>41659</v>
      </c>
      <c r="F107" t="s">
        <v>215</v>
      </c>
      <c r="G107" s="4" t="s">
        <v>244</v>
      </c>
      <c r="H107" s="4" t="str">
        <f>VLOOKUP(A107,'Monthly EE List'!A:G,7,0)</f>
        <v>LOA</v>
      </c>
      <c r="I107" t="s">
        <v>212</v>
      </c>
      <c r="J107" s="5">
        <v>41621</v>
      </c>
      <c r="K107" s="43" t="s">
        <v>145</v>
      </c>
      <c r="L107" s="4" t="str">
        <f t="shared" ca="1" si="1"/>
        <v/>
      </c>
      <c r="M107" s="6" t="str">
        <f>IF(VLOOKUP($C$4,Working!$A$23:$L$52,Working!$F$21,0)="Y",TEXT($C$6,"YYYYMM")&amp;"_"&amp;$E107&amp;"_"&amp;Working!$B$11&amp;Working!$B$12,"")</f>
        <v>201703_41659_Top15.xlsx</v>
      </c>
      <c r="N107" s="6" t="str">
        <f>IF(VLOOKUP($C$4,Working!$A$23:$L$52,Working!$I$21,0)="Y",TEXT($C$6,"YYYYMM")&amp;"_"&amp;$E107&amp;"_"&amp;Working!$B$13&amp;Working!$B$14,"")</f>
        <v/>
      </c>
      <c r="O107" s="4"/>
      <c r="P107" s="4"/>
      <c r="Q107" s="54"/>
      <c r="R107" s="41"/>
      <c r="S107" s="41"/>
      <c r="T107" s="41"/>
      <c r="U107" s="41"/>
      <c r="V107" s="4"/>
      <c r="AS107"/>
    </row>
    <row r="108" spans="1:45" x14ac:dyDescent="0.3">
      <c r="A108">
        <v>1863</v>
      </c>
      <c r="B108" s="37" t="str">
        <f>VLOOKUP(A108,'Monthly EE List'!A:D,4,0)&amp;" "&amp;VLOOKUP(A108,'Monthly EE List'!A:D,3,0)</f>
        <v>REJEAN CORNO</v>
      </c>
      <c r="C108" s="38" t="s">
        <v>337</v>
      </c>
      <c r="D108" s="4" t="s">
        <v>599</v>
      </c>
      <c r="E108">
        <v>51433</v>
      </c>
      <c r="F108" t="s">
        <v>217</v>
      </c>
      <c r="G108" s="4" t="s">
        <v>244</v>
      </c>
      <c r="H108" s="4" t="str">
        <f>VLOOKUP(A108,'Monthly EE List'!A:G,7,0)</f>
        <v>A</v>
      </c>
      <c r="J108" s="5"/>
      <c r="L108" s="4" t="str">
        <f t="shared" ca="1" si="1"/>
        <v/>
      </c>
      <c r="M108" s="6" t="str">
        <f>IF(VLOOKUP($C$4,Working!$A$23:$L$52,Working!$F$21,0)="Y",TEXT($C$6,"YYYYMM")&amp;"_"&amp;$E108&amp;"_"&amp;Working!$B$11&amp;Working!$B$12,"")</f>
        <v>201703_51433_Top15.xlsx</v>
      </c>
      <c r="N108" s="6" t="str">
        <f>IF(VLOOKUP($C$4,Working!$A$23:$L$52,Working!$I$21,0)="Y",TEXT($C$6,"YYYYMM")&amp;"_"&amp;$E108&amp;"_"&amp;Working!$B$13&amp;Working!$B$14,"")</f>
        <v/>
      </c>
      <c r="O108" s="4"/>
      <c r="P108" s="4"/>
      <c r="Q108" s="41"/>
      <c r="R108" s="41"/>
      <c r="S108" s="41"/>
      <c r="T108" s="41"/>
      <c r="U108" s="41"/>
      <c r="V108" s="4"/>
      <c r="AS108"/>
    </row>
    <row r="109" spans="1:45" x14ac:dyDescent="0.3">
      <c r="A109">
        <v>1869</v>
      </c>
      <c r="B109" s="37" t="str">
        <f>VLOOKUP(A109,'Monthly EE List'!A:D,4,0)&amp;" "&amp;VLOOKUP(A109,'Monthly EE List'!A:D,3,0)</f>
        <v>NEIL MCTAVISH</v>
      </c>
      <c r="C109" s="38" t="s">
        <v>402</v>
      </c>
      <c r="D109" s="4" t="s">
        <v>599</v>
      </c>
      <c r="E109" t="s">
        <v>100</v>
      </c>
      <c r="F109" t="s">
        <v>215</v>
      </c>
      <c r="G109" s="4" t="s">
        <v>142</v>
      </c>
      <c r="H109" s="4" t="str">
        <f>VLOOKUP(A109,'Monthly EE List'!A:G,7,0)</f>
        <v>A</v>
      </c>
      <c r="J109" s="5"/>
      <c r="L109" s="4" t="str">
        <f t="shared" ca="1" si="1"/>
        <v/>
      </c>
      <c r="M109" s="6" t="str">
        <f>IF(VLOOKUP($C$4,Working!$A$23:$L$52,Working!$F$21,0)="Y",TEXT($C$6,"YYYYMM")&amp;"_"&amp;$E109&amp;"_"&amp;Working!$B$11&amp;Working!$B$12,"")</f>
        <v>201703_CZ2NM_Top15.xlsx</v>
      </c>
      <c r="N109" s="6" t="str">
        <f>IF(VLOOKUP($C$4,Working!$A$23:$L$52,Working!$I$21,0)="Y",TEXT($C$6,"YYYYMM")&amp;"_"&amp;$E109&amp;"_"&amp;Working!$B$13&amp;Working!$B$14,"")</f>
        <v/>
      </c>
      <c r="O109" s="4" t="s">
        <v>228</v>
      </c>
      <c r="P109" s="4" t="s">
        <v>228</v>
      </c>
      <c r="Q109" s="41"/>
      <c r="R109" s="41"/>
      <c r="S109" s="41"/>
      <c r="T109" s="41"/>
      <c r="U109" s="41" t="s">
        <v>228</v>
      </c>
      <c r="V109" s="54"/>
      <c r="AS109"/>
    </row>
    <row r="110" spans="1:45" x14ac:dyDescent="0.3">
      <c r="A110">
        <v>1873</v>
      </c>
      <c r="B110" s="37" t="str">
        <f>VLOOKUP(A110,'Monthly EE List'!A:D,4,0)&amp;" "&amp;VLOOKUP(A110,'Monthly EE List'!A:D,3,0)</f>
        <v>ERIC VIGNEAULT</v>
      </c>
      <c r="C110" s="38" t="s">
        <v>2396</v>
      </c>
      <c r="D110" s="4" t="s">
        <v>599</v>
      </c>
      <c r="E110">
        <v>41816</v>
      </c>
      <c r="F110" t="s">
        <v>219</v>
      </c>
      <c r="G110" s="4" t="s">
        <v>244</v>
      </c>
      <c r="H110" s="4" t="str">
        <f>VLOOKUP(A110,'Monthly EE List'!A:G,7,0)</f>
        <v>A</v>
      </c>
      <c r="I110" t="s">
        <v>212</v>
      </c>
      <c r="J110" s="5">
        <v>41806</v>
      </c>
      <c r="K110" t="s">
        <v>567</v>
      </c>
      <c r="L110" s="4" t="str">
        <f t="shared" ca="1" si="1"/>
        <v/>
      </c>
      <c r="M110" s="6" t="str">
        <f>IF(VLOOKUP($C$4,Working!$A$23:$L$52,Working!$F$21,0)="Y",TEXT($C$6,"YYYYMM")&amp;"_"&amp;$E110&amp;"_"&amp;Working!$B$11&amp;Working!$B$12,"")</f>
        <v>201703_41816_Top15.xlsx</v>
      </c>
      <c r="N110" s="6" t="str">
        <f>IF(VLOOKUP($C$4,Working!$A$23:$L$52,Working!$I$21,0)="Y",TEXT($C$6,"YYYYMM")&amp;"_"&amp;$E110&amp;"_"&amp;Working!$B$13&amp;Working!$B$14,"")</f>
        <v/>
      </c>
      <c r="O110" s="4"/>
      <c r="P110" s="4"/>
      <c r="Q110" s="41" t="s">
        <v>228</v>
      </c>
      <c r="R110" s="41"/>
      <c r="S110" s="41"/>
      <c r="T110" s="41"/>
      <c r="U110" s="41"/>
      <c r="V110" s="4"/>
      <c r="AS110"/>
    </row>
    <row r="111" spans="1:45" x14ac:dyDescent="0.3">
      <c r="A111">
        <v>1889</v>
      </c>
      <c r="B111" s="37" t="str">
        <f>VLOOKUP(A111,'Monthly EE List'!A:D,4,0)&amp;" "&amp;VLOOKUP(A111,'Monthly EE List'!A:D,3,0)</f>
        <v>STEPHANIE BARBE</v>
      </c>
      <c r="C111" s="38" t="s">
        <v>403</v>
      </c>
      <c r="D111" s="4" t="s">
        <v>599</v>
      </c>
      <c r="E111" t="s">
        <v>102</v>
      </c>
      <c r="F111" t="s">
        <v>217</v>
      </c>
      <c r="G111" s="4" t="s">
        <v>142</v>
      </c>
      <c r="H111" s="4" t="str">
        <f>VLOOKUP(A111,'Monthly EE List'!A:G,7,0)</f>
        <v>A</v>
      </c>
      <c r="I111" t="s">
        <v>211</v>
      </c>
      <c r="J111" s="5">
        <v>40210</v>
      </c>
      <c r="L111" s="4" t="str">
        <f t="shared" ca="1" si="1"/>
        <v/>
      </c>
      <c r="M111" s="6" t="str">
        <f>IF(VLOOKUP($C$4,Working!$A$23:$L$52,Working!$F$21,0)="Y",TEXT($C$6,"YYYYMM")&amp;"_"&amp;$E111&amp;"_"&amp;Working!$B$11&amp;Working!$B$12,"")</f>
        <v>201703_QZ2SB_Top15.xlsx</v>
      </c>
      <c r="N111" s="6" t="str">
        <f>IF(VLOOKUP($C$4,Working!$A$23:$L$52,Working!$I$21,0)="Y",TEXT($C$6,"YYYYMM")&amp;"_"&amp;$E111&amp;"_"&amp;Working!$B$13&amp;Working!$B$14,"")</f>
        <v/>
      </c>
      <c r="O111" s="4" t="s">
        <v>228</v>
      </c>
      <c r="P111" s="4" t="s">
        <v>228</v>
      </c>
      <c r="Q111" s="41"/>
      <c r="R111" s="41"/>
      <c r="S111" s="41"/>
      <c r="T111" s="41"/>
      <c r="U111" s="41" t="s">
        <v>228</v>
      </c>
      <c r="V111" s="4" t="s">
        <v>228</v>
      </c>
      <c r="AS111"/>
    </row>
    <row r="112" spans="1:45" x14ac:dyDescent="0.3">
      <c r="A112">
        <v>1896</v>
      </c>
      <c r="B112" s="37" t="str">
        <f>VLOOKUP(A112,'Monthly EE List'!A:D,4,0)&amp;" "&amp;VLOOKUP(A112,'Monthly EE List'!A:D,3,0)</f>
        <v>JASON BROWN</v>
      </c>
      <c r="C112" s="38" t="s">
        <v>2711</v>
      </c>
      <c r="D112" s="4" t="s">
        <v>599</v>
      </c>
      <c r="E112" t="s">
        <v>2714</v>
      </c>
      <c r="F112" t="s">
        <v>215</v>
      </c>
      <c r="G112" s="4" t="s">
        <v>3024</v>
      </c>
      <c r="H112" s="4" t="str">
        <f>VLOOKUP(A112,'Monthly EE List'!A:G,7,0)</f>
        <v>A</v>
      </c>
      <c r="I112" t="s">
        <v>211</v>
      </c>
      <c r="J112" s="5">
        <v>41191</v>
      </c>
      <c r="K112" t="s">
        <v>2716</v>
      </c>
      <c r="L112" s="4" t="str">
        <f t="shared" ca="1" si="1"/>
        <v>X</v>
      </c>
      <c r="M112" s="6" t="str">
        <f>IF(VLOOKUP($C$4,Working!$A$23:$L$52,Working!$F$21,0)="Y",TEXT($C$6,"YYYYMM")&amp;"_"&amp;$E112&amp;"_"&amp;Working!$B$11&amp;Working!$B$12,"")</f>
        <v>201703_TOR02_Top15.xlsx</v>
      </c>
      <c r="N112" s="6" t="str">
        <f>IF(VLOOKUP($C$4,Working!$A$23:$L$52,Working!$I$21,0)="Y",TEXT($C$6,"YYYYMM")&amp;"_"&amp;$E112&amp;"_"&amp;Working!$B$13&amp;Working!$B$14,"")</f>
        <v/>
      </c>
      <c r="O112" s="4"/>
      <c r="P112" s="4"/>
      <c r="Q112" s="41"/>
      <c r="R112" s="41"/>
      <c r="S112" s="41"/>
      <c r="T112" s="41"/>
      <c r="U112" s="4"/>
      <c r="V112" s="4"/>
      <c r="W112" s="4" t="s">
        <v>228</v>
      </c>
      <c r="AS112"/>
    </row>
    <row r="113" spans="1:45" x14ac:dyDescent="0.3">
      <c r="A113">
        <v>1896</v>
      </c>
      <c r="B113" s="37" t="str">
        <f>VLOOKUP(A113,'Monthly EE List'!A:D,4,0)&amp;" "&amp;VLOOKUP(A113,'Monthly EE List'!A:D,3,0)</f>
        <v>JASON BROWN</v>
      </c>
      <c r="C113" s="38" t="s">
        <v>2711</v>
      </c>
      <c r="D113" s="4" t="s">
        <v>599</v>
      </c>
      <c r="E113" t="s">
        <v>3179</v>
      </c>
      <c r="F113" t="s">
        <v>215</v>
      </c>
      <c r="G113" s="4" t="s">
        <v>3024</v>
      </c>
      <c r="H113" s="4" t="str">
        <f>VLOOKUP(A113,'Monthly EE List'!A:G,7,0)</f>
        <v>A</v>
      </c>
      <c r="I113" t="s">
        <v>211</v>
      </c>
      <c r="J113" s="5">
        <v>41191</v>
      </c>
      <c r="K113" t="s">
        <v>2716</v>
      </c>
      <c r="L113" s="4" t="str">
        <f t="shared" ca="1" si="1"/>
        <v>X</v>
      </c>
      <c r="M113" s="6" t="str">
        <f>IF(VLOOKUP($C$4,Working!$A$23:$L$52,Working!$F$21,0)="Y",TEXT($C$6,"YYYYMM")&amp;"_"&amp;$E113&amp;"_"&amp;Working!$B$11&amp;Working!$B$12,"")</f>
        <v>201703_TOR03_Top15.xlsx</v>
      </c>
      <c r="N113" s="6" t="str">
        <f>IF(VLOOKUP($C$4,Working!$A$23:$L$52,Working!$I$21,0)="Y",TEXT($C$6,"YYYYMM")&amp;"_"&amp;$E113&amp;"_"&amp;Working!$B$13&amp;Working!$B$14,"")</f>
        <v/>
      </c>
      <c r="O113" s="4"/>
      <c r="P113" s="4"/>
      <c r="Q113" s="41"/>
      <c r="R113" s="41"/>
      <c r="S113" s="41"/>
      <c r="T113" s="41"/>
      <c r="U113" s="4"/>
      <c r="V113" s="4"/>
      <c r="W113" s="4" t="s">
        <v>228</v>
      </c>
      <c r="AS113"/>
    </row>
    <row r="114" spans="1:45" x14ac:dyDescent="0.3">
      <c r="A114">
        <v>1896</v>
      </c>
      <c r="B114" s="37" t="str">
        <f>VLOOKUP(A114,'Monthly EE List'!A:D,4,0)&amp;" "&amp;VLOOKUP(A114,'Monthly EE List'!A:D,3,0)</f>
        <v>JASON BROWN</v>
      </c>
      <c r="C114" s="38" t="s">
        <v>2711</v>
      </c>
      <c r="D114" s="4" t="s">
        <v>599</v>
      </c>
      <c r="E114" t="s">
        <v>2850</v>
      </c>
      <c r="F114" t="s">
        <v>215</v>
      </c>
      <c r="G114" s="4" t="s">
        <v>3024</v>
      </c>
      <c r="H114" s="4" t="str">
        <f>VLOOKUP(A114,'Monthly EE List'!A:G,7,0)</f>
        <v>A</v>
      </c>
      <c r="I114" t="s">
        <v>211</v>
      </c>
      <c r="J114" s="5">
        <v>41191</v>
      </c>
      <c r="K114" t="s">
        <v>2716</v>
      </c>
      <c r="L114" s="4" t="str">
        <f t="shared" ca="1" si="1"/>
        <v>X</v>
      </c>
      <c r="M114" s="6" t="str">
        <f>IF(VLOOKUP($C$4,Working!$A$23:$L$52,Working!$F$21,0)="Y",TEXT($C$6,"YYYYMM")&amp;"_"&amp;$E114&amp;"_"&amp;Working!$B$11&amp;Working!$B$12,"")</f>
        <v>201703_TOR04_Top15.xlsx</v>
      </c>
      <c r="N114" s="6" t="str">
        <f>IF(VLOOKUP($C$4,Working!$A$23:$L$52,Working!$I$21,0)="Y",TEXT($C$6,"YYYYMM")&amp;"_"&amp;$E114&amp;"_"&amp;Working!$B$13&amp;Working!$B$14,"")</f>
        <v/>
      </c>
      <c r="O114" s="4"/>
      <c r="P114" s="4"/>
      <c r="Q114" s="41"/>
      <c r="R114" s="41"/>
      <c r="S114" s="41"/>
      <c r="T114" s="41"/>
      <c r="U114" s="4"/>
      <c r="V114" s="4"/>
      <c r="W114" s="4" t="s">
        <v>228</v>
      </c>
      <c r="AS114"/>
    </row>
    <row r="115" spans="1:45" x14ac:dyDescent="0.3">
      <c r="A115">
        <v>1896</v>
      </c>
      <c r="B115" s="37" t="str">
        <f>VLOOKUP(A115,'Monthly EE List'!A:D,4,0)&amp;" "&amp;VLOOKUP(A115,'Monthly EE List'!A:D,3,0)</f>
        <v>JASON BROWN</v>
      </c>
      <c r="C115" s="38" t="s">
        <v>2711</v>
      </c>
      <c r="D115" s="4" t="s">
        <v>599</v>
      </c>
      <c r="E115" t="s">
        <v>3743</v>
      </c>
      <c r="F115" t="s">
        <v>215</v>
      </c>
      <c r="G115" s="4" t="s">
        <v>3024</v>
      </c>
      <c r="H115" s="4" t="str">
        <f>VLOOKUP(A115,'Monthly EE List'!A:G,7,0)</f>
        <v>A</v>
      </c>
      <c r="I115" t="s">
        <v>211</v>
      </c>
      <c r="J115" s="5">
        <v>41191</v>
      </c>
      <c r="K115" t="s">
        <v>2716</v>
      </c>
      <c r="L115" s="4" t="str">
        <f t="shared" ca="1" si="1"/>
        <v>X</v>
      </c>
      <c r="M115" s="6" t="str">
        <f>IF(VLOOKUP($C$4,Working!$A$23:$L$52,Working!$F$21,0)="Y",TEXT($C$6,"YYYYMM")&amp;"_"&amp;$E115&amp;"_"&amp;Working!$B$11&amp;Working!$B$12,"")</f>
        <v>201703_TOR05_Top15.xlsx</v>
      </c>
      <c r="N115" s="6" t="str">
        <f>IF(VLOOKUP($C$4,Working!$A$23:$L$52,Working!$I$21,0)="Y",TEXT($C$6,"YYYYMM")&amp;"_"&amp;$E115&amp;"_"&amp;Working!$B$13&amp;Working!$B$14,"")</f>
        <v/>
      </c>
      <c r="O115" s="4"/>
      <c r="P115" s="4"/>
      <c r="Q115" s="41"/>
      <c r="R115" s="41"/>
      <c r="S115" s="41"/>
      <c r="T115" s="41"/>
      <c r="U115" s="4"/>
      <c r="V115" s="4"/>
      <c r="W115" s="4" t="s">
        <v>228</v>
      </c>
      <c r="AS115"/>
    </row>
    <row r="116" spans="1:45" x14ac:dyDescent="0.3">
      <c r="A116">
        <v>1900</v>
      </c>
      <c r="B116" s="37" t="str">
        <f>VLOOKUP(A116,'Monthly EE List'!A:D,4,0)&amp;" "&amp;VLOOKUP(A116,'Monthly EE List'!A:D,3,0)</f>
        <v>BLAKE GOODALL</v>
      </c>
      <c r="C116" s="38" t="s">
        <v>405</v>
      </c>
      <c r="D116" s="4" t="s">
        <v>599</v>
      </c>
      <c r="E116" t="s">
        <v>104</v>
      </c>
      <c r="F116" t="s">
        <v>215</v>
      </c>
      <c r="G116" s="4" t="s">
        <v>142</v>
      </c>
      <c r="H116" s="4" t="str">
        <f>VLOOKUP(A116,'Monthly EE List'!A:G,7,0)</f>
        <v>A</v>
      </c>
      <c r="I116" t="s">
        <v>211</v>
      </c>
      <c r="J116" s="5">
        <v>40295</v>
      </c>
      <c r="K116" t="s">
        <v>146</v>
      </c>
      <c r="L116" s="4" t="str">
        <f t="shared" ca="1" si="1"/>
        <v/>
      </c>
      <c r="M116" s="6" t="str">
        <f>IF(VLOOKUP($C$4,Working!$A$23:$L$52,Working!$F$21,0)="Y",TEXT($C$6,"YYYYMM")&amp;"_"&amp;$E116&amp;"_"&amp;Working!$B$11&amp;Working!$B$12,"")</f>
        <v>201703_CZ2BG_Top15.xlsx</v>
      </c>
      <c r="N116" s="6" t="str">
        <f>IF(VLOOKUP($C$4,Working!$A$23:$L$52,Working!$I$21,0)="Y",TEXT($C$6,"YYYYMM")&amp;"_"&amp;$E116&amp;"_"&amp;Working!$B$13&amp;Working!$B$14,"")</f>
        <v/>
      </c>
      <c r="O116" s="4" t="s">
        <v>228</v>
      </c>
      <c r="P116" s="4" t="s">
        <v>228</v>
      </c>
      <c r="Q116" s="41"/>
      <c r="R116" s="41"/>
      <c r="S116" s="41"/>
      <c r="T116" s="41"/>
      <c r="U116" s="41" t="s">
        <v>228</v>
      </c>
      <c r="V116" s="54"/>
      <c r="AS116"/>
    </row>
    <row r="117" spans="1:45" x14ac:dyDescent="0.3">
      <c r="A117">
        <v>1927</v>
      </c>
      <c r="B117" s="37" t="str">
        <f>VLOOKUP(A117,'Monthly EE List'!A:D,4,0)&amp;" "&amp;VLOOKUP(A117,'Monthly EE List'!A:D,3,0)</f>
        <v>XAVIER BOURRET</v>
      </c>
      <c r="C117" s="38" t="s">
        <v>3130</v>
      </c>
      <c r="D117" s="4" t="s">
        <v>599</v>
      </c>
      <c r="E117">
        <v>51438</v>
      </c>
      <c r="F117" t="s">
        <v>217</v>
      </c>
      <c r="G117" s="4" t="s">
        <v>244</v>
      </c>
      <c r="H117" s="4" t="str">
        <f>VLOOKUP(A117,'Monthly EE List'!A:G,7,0)</f>
        <v>A</v>
      </c>
      <c r="I117" t="s">
        <v>211</v>
      </c>
      <c r="J117" s="5">
        <v>42814</v>
      </c>
      <c r="K117" s="10" t="s">
        <v>571</v>
      </c>
      <c r="L117" s="4" t="str">
        <f t="shared" ca="1" si="1"/>
        <v/>
      </c>
      <c r="M117" s="6" t="str">
        <f>IF(VLOOKUP($C$4,Working!$A$23:$L$52,Working!$F$21,0)="Y",TEXT($C$6,"YYYYMM")&amp;"_"&amp;$E117&amp;"_"&amp;Working!$B$11&amp;Working!$B$12,"")</f>
        <v>201703_51438_Top15.xlsx</v>
      </c>
      <c r="N117" s="6" t="str">
        <f>IF(VLOOKUP($C$4,Working!$A$23:$L$52,Working!$I$21,0)="Y",TEXT($C$6,"YYYYMM")&amp;"_"&amp;$E117&amp;"_"&amp;Working!$B$13&amp;Working!$B$14,"")</f>
        <v/>
      </c>
      <c r="O117" s="4"/>
      <c r="P117" s="4"/>
      <c r="Q117" s="41" t="s">
        <v>228</v>
      </c>
      <c r="R117" s="41"/>
      <c r="S117" s="41"/>
      <c r="T117" s="41"/>
      <c r="U117" s="41"/>
      <c r="V117" s="4"/>
      <c r="AS117"/>
    </row>
    <row r="118" spans="1:45" x14ac:dyDescent="0.3">
      <c r="A118">
        <v>1936</v>
      </c>
      <c r="B118" s="37" t="str">
        <f>VLOOKUP(A118,'Monthly EE List'!A:D,4,0)&amp;" "&amp;VLOOKUP(A118,'Monthly EE List'!A:D,3,0)</f>
        <v>FREDERIC GAGNON</v>
      </c>
      <c r="C118" s="38" t="s">
        <v>3499</v>
      </c>
      <c r="D118" s="4" t="s">
        <v>599</v>
      </c>
      <c r="E118" t="s">
        <v>217</v>
      </c>
      <c r="F118" t="s">
        <v>217</v>
      </c>
      <c r="G118" s="4" t="s">
        <v>3024</v>
      </c>
      <c r="H118" s="4" t="str">
        <f>VLOOKUP(A118,'Monthly EE List'!A:G,7,0)</f>
        <v>A</v>
      </c>
      <c r="I118" t="s">
        <v>211</v>
      </c>
      <c r="J118" s="5">
        <v>42206</v>
      </c>
      <c r="K118" t="s">
        <v>2716</v>
      </c>
      <c r="L118" s="4" t="str">
        <f t="shared" ca="1" si="1"/>
        <v>X</v>
      </c>
      <c r="M118" s="6" t="str">
        <f>IF(VLOOKUP($C$4,Working!$A$23:$L$52,Working!$F$21,0)="Y",TEXT($C$6,"YYYYMM")&amp;"_"&amp;$E118&amp;"_"&amp;Working!$B$11&amp;Working!$B$12,"")</f>
        <v>201703_MNTRL_Top15.xlsx</v>
      </c>
      <c r="N118" s="6" t="str">
        <f>IF(VLOOKUP($C$4,Working!$A$23:$L$52,Working!$I$21,0)="Y",TEXT($C$6,"YYYYMM")&amp;"_"&amp;$E118&amp;"_"&amp;Working!$B$13&amp;Working!$B$14,"")</f>
        <v/>
      </c>
      <c r="O118" s="4"/>
      <c r="P118" s="4"/>
      <c r="Q118" s="41"/>
      <c r="R118" s="41"/>
      <c r="S118" s="41"/>
      <c r="T118" s="41"/>
      <c r="U118" s="4"/>
      <c r="V118" s="4"/>
      <c r="W118" s="4" t="s">
        <v>228</v>
      </c>
      <c r="AS118"/>
    </row>
    <row r="119" spans="1:45" x14ac:dyDescent="0.3">
      <c r="A119">
        <v>1947</v>
      </c>
      <c r="B119" s="46" t="str">
        <f>VLOOKUP(A119,'Monthly EE List'!A:D,4,0)&amp;" "&amp;VLOOKUP(A119,'Monthly EE List'!A:D,3,0)</f>
        <v>KARL LAMBERT</v>
      </c>
      <c r="C119" s="38" t="s">
        <v>2916</v>
      </c>
      <c r="D119" s="4" t="s">
        <v>599</v>
      </c>
      <c r="E119" s="10">
        <v>41818</v>
      </c>
      <c r="F119" t="s">
        <v>219</v>
      </c>
      <c r="G119" s="4" t="s">
        <v>244</v>
      </c>
      <c r="H119" s="4" t="str">
        <f>VLOOKUP(A119,'Monthly EE List'!A:G,7,0)</f>
        <v>A</v>
      </c>
      <c r="I119" t="s">
        <v>212</v>
      </c>
      <c r="J119" s="5">
        <v>41806</v>
      </c>
      <c r="K119" t="s">
        <v>567</v>
      </c>
      <c r="L119" s="4" t="str">
        <f t="shared" ca="1" si="1"/>
        <v/>
      </c>
      <c r="M119" s="6" t="str">
        <f>IF(VLOOKUP($C$4,Working!$A$23:$L$52,Working!$F$21,0)="Y",TEXT($C$6,"YYYYMM")&amp;"_"&amp;$E119&amp;"_"&amp;Working!$B$11&amp;Working!$B$12,"")</f>
        <v>201703_41818_Top15.xlsx</v>
      </c>
      <c r="N119" s="6" t="str">
        <f>IF(VLOOKUP($C$4,Working!$A$23:$L$52,Working!$I$21,0)="Y",TEXT($C$6,"YYYYMM")&amp;"_"&amp;$E119&amp;"_"&amp;Working!$B$13&amp;Working!$B$14,"")</f>
        <v/>
      </c>
      <c r="O119" s="4"/>
      <c r="P119" s="4"/>
      <c r="Q119" s="41" t="s">
        <v>228</v>
      </c>
      <c r="R119" s="41"/>
      <c r="S119" s="41"/>
      <c r="T119" s="41"/>
      <c r="U119" s="41"/>
      <c r="V119" s="4"/>
      <c r="AS119"/>
    </row>
    <row r="120" spans="1:45" x14ac:dyDescent="0.3">
      <c r="A120">
        <v>1950</v>
      </c>
      <c r="B120" s="37" t="str">
        <f>VLOOKUP(A120,'Monthly EE List'!A:D,4,0)&amp;" "&amp;VLOOKUP(A120,'Monthly EE List'!A:D,3,0)</f>
        <v>SHANNON AARTS</v>
      </c>
      <c r="C120" s="38" t="s">
        <v>560</v>
      </c>
      <c r="D120" s="4" t="s">
        <v>599</v>
      </c>
      <c r="E120" s="10" t="s">
        <v>554</v>
      </c>
      <c r="F120" t="s">
        <v>218</v>
      </c>
      <c r="G120" s="4" t="s">
        <v>142</v>
      </c>
      <c r="H120" s="4" t="str">
        <f>VLOOKUP(A120,'Monthly EE List'!A:G,7,0)</f>
        <v>A</v>
      </c>
      <c r="I120" t="s">
        <v>211</v>
      </c>
      <c r="J120" s="5">
        <v>40597</v>
      </c>
      <c r="K120" t="s">
        <v>147</v>
      </c>
      <c r="L120" s="4" t="str">
        <f t="shared" ca="1" si="1"/>
        <v/>
      </c>
      <c r="M120" s="6" t="str">
        <f>IF(VLOOKUP($C$4,Working!$A$23:$L$52,Working!$F$21,0)="Y",TEXT($C$6,"YYYYMM")&amp;"_"&amp;$E120&amp;"_"&amp;Working!$B$11&amp;Working!$B$12,"")</f>
        <v>201703_CZ1SA_Top15.xlsx</v>
      </c>
      <c r="N120" s="6" t="str">
        <f>IF(VLOOKUP($C$4,Working!$A$23:$L$52,Working!$I$21,0)="Y",TEXT($C$6,"YYYYMM")&amp;"_"&amp;$E120&amp;"_"&amp;Working!$B$13&amp;Working!$B$14,"")</f>
        <v/>
      </c>
      <c r="O120" s="4" t="s">
        <v>228</v>
      </c>
      <c r="P120" s="4" t="s">
        <v>228</v>
      </c>
      <c r="Q120" s="41"/>
      <c r="R120" s="41"/>
      <c r="S120" s="41"/>
      <c r="T120" s="41"/>
      <c r="U120" s="41" t="s">
        <v>228</v>
      </c>
      <c r="V120" s="54"/>
      <c r="AS120"/>
    </row>
    <row r="121" spans="1:45" x14ac:dyDescent="0.3">
      <c r="A121">
        <v>1962</v>
      </c>
      <c r="B121" s="37" t="str">
        <f>VLOOKUP(A121,'Monthly EE List'!A:D,4,0)&amp;" "&amp;VLOOKUP(A121,'Monthly EE List'!A:D,3,0)</f>
        <v>ANDRE ROY</v>
      </c>
      <c r="C121" s="38" t="s">
        <v>2399</v>
      </c>
      <c r="D121" s="4" t="s">
        <v>599</v>
      </c>
      <c r="E121">
        <v>51441</v>
      </c>
      <c r="F121" t="s">
        <v>217</v>
      </c>
      <c r="G121" s="4" t="s">
        <v>244</v>
      </c>
      <c r="H121" s="4" t="str">
        <f>VLOOKUP(A121,'Monthly EE List'!A:G,7,0)</f>
        <v>A</v>
      </c>
      <c r="I121" t="s">
        <v>212</v>
      </c>
      <c r="J121" s="5">
        <v>41806</v>
      </c>
      <c r="K121" t="s">
        <v>567</v>
      </c>
      <c r="L121" s="4" t="str">
        <f t="shared" ca="1" si="1"/>
        <v/>
      </c>
      <c r="M121" s="6" t="str">
        <f>IF(VLOOKUP($C$4,Working!$A$23:$L$52,Working!$F$21,0)="Y",TEXT($C$6,"YYYYMM")&amp;"_"&amp;$E121&amp;"_"&amp;Working!$B$11&amp;Working!$B$12,"")</f>
        <v>201703_51441_Top15.xlsx</v>
      </c>
      <c r="N121" s="6" t="str">
        <f>IF(VLOOKUP($C$4,Working!$A$23:$L$52,Working!$I$21,0)="Y",TEXT($C$6,"YYYYMM")&amp;"_"&amp;$E121&amp;"_"&amp;Working!$B$13&amp;Working!$B$14,"")</f>
        <v/>
      </c>
      <c r="O121" s="4"/>
      <c r="P121" s="4"/>
      <c r="Q121" s="41" t="s">
        <v>228</v>
      </c>
      <c r="R121" s="41"/>
      <c r="S121" s="41"/>
      <c r="T121" s="41"/>
      <c r="U121" s="41"/>
      <c r="V121" s="4"/>
      <c r="AS121"/>
    </row>
    <row r="122" spans="1:45" x14ac:dyDescent="0.3">
      <c r="A122" s="10">
        <v>1980</v>
      </c>
      <c r="B122" s="37" t="str">
        <f>VLOOKUP(A122,'Monthly EE List'!A:D,4,0)&amp;" "&amp;VLOOKUP(A122,'Monthly EE List'!A:D,3,0)</f>
        <v>WILLIAM DOWE</v>
      </c>
      <c r="C122" s="38" t="s">
        <v>2863</v>
      </c>
      <c r="D122" s="4" t="s">
        <v>599</v>
      </c>
      <c r="E122" t="s">
        <v>2864</v>
      </c>
      <c r="F122" t="s">
        <v>2864</v>
      </c>
      <c r="G122" s="4" t="s">
        <v>2715</v>
      </c>
      <c r="H122" s="4" t="str">
        <f>VLOOKUP(A122,'Monthly EE List'!A:G,7,0)</f>
        <v>A</v>
      </c>
      <c r="I122" t="s">
        <v>211</v>
      </c>
      <c r="J122" s="5">
        <v>41191</v>
      </c>
      <c r="K122" t="s">
        <v>2716</v>
      </c>
      <c r="L122" s="4" t="str">
        <f t="shared" ca="1" si="1"/>
        <v>X</v>
      </c>
      <c r="M122" s="6" t="str">
        <f>IF(VLOOKUP($C$4,Working!$A$23:$L$52,Working!$F$21,0)="Y",TEXT($C$6,"YYYYMM")&amp;"_"&amp;$E122&amp;"_"&amp;Working!$B$11&amp;Working!$B$12,"")</f>
        <v>201703_Zahn_Top15.xlsx</v>
      </c>
      <c r="N122" s="6" t="str">
        <f>IF(VLOOKUP($C$4,Working!$A$23:$L$52,Working!$I$21,0)="Y",TEXT($C$6,"YYYYMM")&amp;"_"&amp;$E122&amp;"_"&amp;Working!$B$13&amp;Working!$B$14,"")</f>
        <v/>
      </c>
      <c r="O122" s="4"/>
      <c r="P122" s="4"/>
      <c r="Q122" s="41"/>
      <c r="R122" s="41"/>
      <c r="S122" s="41"/>
      <c r="T122" s="41"/>
      <c r="U122" s="4"/>
      <c r="V122" s="4"/>
      <c r="W122" s="4" t="s">
        <v>228</v>
      </c>
      <c r="AS122"/>
    </row>
    <row r="123" spans="1:45" x14ac:dyDescent="0.3">
      <c r="A123">
        <v>1981</v>
      </c>
      <c r="B123" s="37" t="str">
        <f>VLOOKUP(A123,'Monthly EE List'!A:D,4,0)&amp;" "&amp;VLOOKUP(A123,'Monthly EE List'!A:D,3,0)</f>
        <v>CIRO MANTILLA</v>
      </c>
      <c r="C123" s="38" t="s">
        <v>3082</v>
      </c>
      <c r="D123" s="4" t="s">
        <v>599</v>
      </c>
      <c r="E123">
        <v>41819</v>
      </c>
      <c r="F123" t="s">
        <v>219</v>
      </c>
      <c r="G123" s="4" t="s">
        <v>244</v>
      </c>
      <c r="H123" s="4" t="str">
        <f>VLOOKUP(A123,'Monthly EE List'!A:G,7,0)</f>
        <v>A</v>
      </c>
      <c r="I123" t="s">
        <v>212</v>
      </c>
      <c r="J123" s="5">
        <v>42776</v>
      </c>
      <c r="K123" t="s">
        <v>2366</v>
      </c>
      <c r="L123" s="4" t="str">
        <f t="shared" ca="1" si="1"/>
        <v/>
      </c>
      <c r="M123" s="6" t="str">
        <f>IF(VLOOKUP($C$4,Working!$A$23:$L$52,Working!$F$21,0)="Y",TEXT($C$6,"YYYYMM")&amp;"_"&amp;$E123&amp;"_"&amp;Working!$B$11&amp;Working!$B$12,"")</f>
        <v>201703_41819_Top15.xlsx</v>
      </c>
      <c r="N123" s="6" t="str">
        <f>IF(VLOOKUP($C$4,Working!$A$23:$L$52,Working!$I$21,0)="Y",TEXT($C$6,"YYYYMM")&amp;"_"&amp;$E123&amp;"_"&amp;Working!$B$13&amp;Working!$B$14,"")</f>
        <v/>
      </c>
      <c r="O123" s="4"/>
      <c r="P123" s="4"/>
      <c r="Q123" s="41" t="s">
        <v>228</v>
      </c>
      <c r="R123" s="41"/>
      <c r="S123" s="41"/>
      <c r="T123" s="41"/>
      <c r="U123" s="41"/>
      <c r="V123" s="4"/>
      <c r="AS123"/>
    </row>
    <row r="124" spans="1:45" x14ac:dyDescent="0.3">
      <c r="A124">
        <v>2014</v>
      </c>
      <c r="B124" s="37" t="str">
        <f>VLOOKUP(A124,'Monthly EE List'!A:D,4,0)&amp;" "&amp;VLOOKUP(A124,'Monthly EE List'!A:D,3,0)</f>
        <v>SHAWN HUNTER</v>
      </c>
      <c r="C124" s="38" t="s">
        <v>321</v>
      </c>
      <c r="D124" s="4" t="s">
        <v>599</v>
      </c>
      <c r="E124">
        <v>60410</v>
      </c>
      <c r="F124" t="s">
        <v>214</v>
      </c>
      <c r="G124" s="4" t="s">
        <v>244</v>
      </c>
      <c r="H124" s="4" t="str">
        <f>VLOOKUP(A124,'Monthly EE List'!A:G,7,0)</f>
        <v>A</v>
      </c>
      <c r="J124" s="5"/>
      <c r="L124" s="4" t="str">
        <f t="shared" ca="1" si="1"/>
        <v/>
      </c>
      <c r="M124" s="6" t="str">
        <f>IF(VLOOKUP($C$4,Working!$A$23:$L$52,Working!$F$21,0)="Y",TEXT($C$6,"YYYYMM")&amp;"_"&amp;$E124&amp;"_"&amp;Working!$B$11&amp;Working!$B$12,"")</f>
        <v>201703_60410_Top15.xlsx</v>
      </c>
      <c r="N124" s="6" t="str">
        <f>IF(VLOOKUP($C$4,Working!$A$23:$L$52,Working!$I$21,0)="Y",TEXT($C$6,"YYYYMM")&amp;"_"&amp;$E124&amp;"_"&amp;Working!$B$13&amp;Working!$B$14,"")</f>
        <v/>
      </c>
      <c r="O124" s="4"/>
      <c r="P124" s="4"/>
      <c r="Q124" s="41" t="s">
        <v>228</v>
      </c>
      <c r="R124" s="41"/>
      <c r="S124" s="41"/>
      <c r="T124" s="41"/>
      <c r="U124" s="41"/>
      <c r="V124" s="4"/>
      <c r="AS124"/>
    </row>
    <row r="125" spans="1:45" x14ac:dyDescent="0.3">
      <c r="A125" s="10">
        <v>2018</v>
      </c>
      <c r="B125" s="37" t="str">
        <f>VLOOKUP(A125,'Monthly EE List'!A:D,4,0)&amp;" "&amp;VLOOKUP(A125,'Monthly EE List'!A:D,3,0)</f>
        <v>AUDREY WIENS</v>
      </c>
      <c r="C125" s="38" t="s">
        <v>2707</v>
      </c>
      <c r="D125" s="4" t="s">
        <v>599</v>
      </c>
      <c r="E125" t="s">
        <v>3281</v>
      </c>
      <c r="F125" t="s">
        <v>222</v>
      </c>
      <c r="G125" s="4" t="s">
        <v>2715</v>
      </c>
      <c r="H125" s="4" t="str">
        <f>VLOOKUP(A125,'Monthly EE List'!A:G,7,0)</f>
        <v>A</v>
      </c>
      <c r="I125" t="s">
        <v>211</v>
      </c>
      <c r="J125" s="5">
        <v>41960</v>
      </c>
      <c r="K125" t="s">
        <v>3230</v>
      </c>
      <c r="L125" s="4" t="str">
        <f t="shared" ca="1" si="1"/>
        <v/>
      </c>
      <c r="M125" s="6" t="str">
        <f>IF(VLOOKUP($C$4,Working!$A$23:$L$52,Working!$F$21,0)="Y",TEXT($C$6,"YYYYMM")&amp;"_"&amp;$E125&amp;"_"&amp;Working!$B$11&amp;Working!$B$12,"")</f>
        <v>201703_WZ1FA_Top15.xlsx</v>
      </c>
      <c r="N125" s="6" t="str">
        <f>IF(VLOOKUP($C$4,Working!$A$23:$L$52,Working!$I$21,0)="Y",TEXT($C$6,"YYYYMM")&amp;"_"&amp;$E125&amp;"_"&amp;Working!$B$13&amp;Working!$B$14,"")</f>
        <v/>
      </c>
      <c r="O125" s="4" t="s">
        <v>228</v>
      </c>
      <c r="P125" s="54"/>
      <c r="Q125" s="41"/>
      <c r="R125" s="41"/>
      <c r="S125" s="41"/>
      <c r="T125" s="41"/>
      <c r="U125" s="54" t="s">
        <v>228</v>
      </c>
      <c r="V125" s="54"/>
      <c r="W125" s="4"/>
      <c r="AS125"/>
    </row>
    <row r="126" spans="1:45" x14ac:dyDescent="0.3">
      <c r="A126" s="10">
        <v>2018</v>
      </c>
      <c r="B126" s="37" t="str">
        <f>VLOOKUP(A126,'Monthly EE List'!A:D,4,0)&amp;" "&amp;VLOOKUP(A126,'Monthly EE List'!A:D,3,0)</f>
        <v>AUDREY WIENS</v>
      </c>
      <c r="C126" s="38" t="s">
        <v>2707</v>
      </c>
      <c r="D126" s="4" t="s">
        <v>599</v>
      </c>
      <c r="E126" t="s">
        <v>222</v>
      </c>
      <c r="F126" t="s">
        <v>222</v>
      </c>
      <c r="G126" s="4" t="s">
        <v>2715</v>
      </c>
      <c r="H126" s="4" t="str">
        <f>VLOOKUP(A126,'Monthly EE List'!A:G,7,0)</f>
        <v>A</v>
      </c>
      <c r="I126" t="s">
        <v>211</v>
      </c>
      <c r="J126" s="5">
        <v>41191</v>
      </c>
      <c r="K126" t="s">
        <v>2716</v>
      </c>
      <c r="L126" s="4" t="str">
        <f t="shared" ca="1" si="1"/>
        <v>X</v>
      </c>
      <c r="M126" s="6" t="str">
        <f>IF(VLOOKUP($C$4,Working!$A$23:$L$52,Working!$F$21,0)="Y",TEXT($C$6,"YYYYMM")&amp;"_"&amp;$E126&amp;"_"&amp;Working!$B$11&amp;Working!$B$12,"")</f>
        <v>201703_MEDIC_Top15.xlsx</v>
      </c>
      <c r="N126" s="6" t="str">
        <f>IF(VLOOKUP($C$4,Working!$A$23:$L$52,Working!$I$21,0)="Y",TEXT($C$6,"YYYYMM")&amp;"_"&amp;$E126&amp;"_"&amp;Working!$B$13&amp;Working!$B$14,"")</f>
        <v/>
      </c>
      <c r="O126" s="4"/>
      <c r="P126" s="4"/>
      <c r="Q126" s="41"/>
      <c r="R126" s="41"/>
      <c r="S126" s="41"/>
      <c r="T126" s="41"/>
      <c r="U126" s="4"/>
      <c r="V126" s="4"/>
      <c r="W126" s="4" t="s">
        <v>228</v>
      </c>
      <c r="AS126"/>
    </row>
    <row r="127" spans="1:45" x14ac:dyDescent="0.3">
      <c r="A127" s="10">
        <v>2118</v>
      </c>
      <c r="B127" s="37" t="str">
        <f>VLOOKUP(A127,'Monthly EE List'!A:D,4,0)&amp;" "&amp;VLOOKUP(A127,'Monthly EE List'!A:D,3,0)</f>
        <v>JOSEE CHERFAN</v>
      </c>
      <c r="C127" s="38" t="s">
        <v>2706</v>
      </c>
      <c r="D127" s="4" t="s">
        <v>599</v>
      </c>
      <c r="E127" t="s">
        <v>225</v>
      </c>
      <c r="F127" t="s">
        <v>225</v>
      </c>
      <c r="G127" s="4" t="s">
        <v>2715</v>
      </c>
      <c r="H127" s="4" t="str">
        <f>VLOOKUP(A127,'Monthly EE List'!A:G,7,0)</f>
        <v>A</v>
      </c>
      <c r="I127" t="s">
        <v>211</v>
      </c>
      <c r="J127" s="5">
        <v>41191</v>
      </c>
      <c r="K127" t="s">
        <v>2716</v>
      </c>
      <c r="L127" s="4" t="str">
        <f t="shared" ca="1" si="1"/>
        <v>X</v>
      </c>
      <c r="M127" s="6" t="str">
        <f>IF(VLOOKUP($C$4,Working!$A$23:$L$52,Working!$F$21,0)="Y",TEXT($C$6,"YYYYMM")&amp;"_"&amp;$E127&amp;"_"&amp;Working!$B$11&amp;Working!$B$12,"")</f>
        <v>201703_EDMON_Top15.xlsx</v>
      </c>
      <c r="N127" s="6" t="str">
        <f>IF(VLOOKUP($C$4,Working!$A$23:$L$52,Working!$I$21,0)="Y",TEXT($C$6,"YYYYMM")&amp;"_"&amp;$E127&amp;"_"&amp;Working!$B$13&amp;Working!$B$14,"")</f>
        <v/>
      </c>
      <c r="O127" s="4"/>
      <c r="P127" s="4"/>
      <c r="Q127" s="41"/>
      <c r="R127" s="41"/>
      <c r="S127" s="41"/>
      <c r="T127" s="41"/>
      <c r="U127" s="4"/>
      <c r="V127" s="4"/>
      <c r="W127" s="4" t="s">
        <v>228</v>
      </c>
      <c r="AS127"/>
    </row>
    <row r="128" spans="1:45" x14ac:dyDescent="0.3">
      <c r="A128">
        <v>2223</v>
      </c>
      <c r="B128" s="37" t="str">
        <f>VLOOKUP(A128,'Monthly EE List'!A:D,4,0)&amp;" "&amp;VLOOKUP(A128,'Monthly EE List'!A:D,3,0)</f>
        <v>JENNA PLENERT</v>
      </c>
      <c r="C128" s="38" t="s">
        <v>3096</v>
      </c>
      <c r="D128" s="4" t="s">
        <v>599</v>
      </c>
      <c r="E128" t="s">
        <v>108</v>
      </c>
      <c r="F128" t="s">
        <v>214</v>
      </c>
      <c r="G128" s="4" t="s">
        <v>142</v>
      </c>
      <c r="H128" s="4" t="str">
        <f>VLOOKUP(A128,'Monthly EE List'!A:G,7,0)</f>
        <v>A</v>
      </c>
      <c r="I128" t="s">
        <v>212</v>
      </c>
      <c r="J128" s="5">
        <v>41681</v>
      </c>
      <c r="K128" s="10" t="s">
        <v>571</v>
      </c>
      <c r="L128" s="4" t="str">
        <f t="shared" ca="1" si="1"/>
        <v/>
      </c>
      <c r="M128" s="6" t="str">
        <f>IF(VLOOKUP($C$4,Working!$A$23:$L$52,Working!$F$21,0)="Y",TEXT($C$6,"YYYYMM")&amp;"_"&amp;$E128&amp;"_"&amp;Working!$B$11&amp;Working!$B$12,"")</f>
        <v>201703_WZ8JP_Top15.xlsx</v>
      </c>
      <c r="N128" s="6" t="str">
        <f>IF(VLOOKUP($C$4,Working!$A$23:$L$52,Working!$I$21,0)="Y",TEXT($C$6,"YYYYMM")&amp;"_"&amp;$E128&amp;"_"&amp;Working!$B$13&amp;Working!$B$14,"")</f>
        <v/>
      </c>
      <c r="O128" s="4" t="s">
        <v>228</v>
      </c>
      <c r="P128" s="4" t="s">
        <v>228</v>
      </c>
      <c r="Q128" s="41"/>
      <c r="R128" s="41"/>
      <c r="S128" s="41"/>
      <c r="T128" s="41"/>
      <c r="U128" s="41" t="s">
        <v>228</v>
      </c>
      <c r="V128" s="54"/>
      <c r="AS128"/>
    </row>
    <row r="129" spans="1:45" x14ac:dyDescent="0.3">
      <c r="A129">
        <v>3003</v>
      </c>
      <c r="B129" s="37" t="str">
        <f>VLOOKUP(A129,'Monthly EE List'!A:D,4,0)&amp;" "&amp;VLOOKUP(A129,'Monthly EE List'!A:D,3,0)</f>
        <v>VICTOR GOOSSEN</v>
      </c>
      <c r="C129" s="38" t="s">
        <v>409</v>
      </c>
      <c r="D129" s="4" t="s">
        <v>599</v>
      </c>
      <c r="E129" t="s">
        <v>109</v>
      </c>
      <c r="F129" t="s">
        <v>214</v>
      </c>
      <c r="G129" s="4" t="s">
        <v>142</v>
      </c>
      <c r="H129" s="4" t="str">
        <f>VLOOKUP(A129,'Monthly EE List'!A:G,7,0)</f>
        <v>A</v>
      </c>
      <c r="J129" s="5"/>
      <c r="L129" s="4" t="str">
        <f t="shared" ca="1" si="1"/>
        <v/>
      </c>
      <c r="M129" s="6" t="str">
        <f>IF(VLOOKUP($C$4,Working!$A$23:$L$52,Working!$F$21,0)="Y",TEXT($C$6,"YYYYMM")&amp;"_"&amp;$E129&amp;"_"&amp;Working!$B$11&amp;Working!$B$12,"")</f>
        <v>201703_WZ115_Top15.xlsx</v>
      </c>
      <c r="N129" s="6" t="str">
        <f>IF(VLOOKUP($C$4,Working!$A$23:$L$52,Working!$I$21,0)="Y",TEXT($C$6,"YYYYMM")&amp;"_"&amp;$E129&amp;"_"&amp;Working!$B$13&amp;Working!$B$14,"")</f>
        <v/>
      </c>
      <c r="O129" s="4" t="s">
        <v>228</v>
      </c>
      <c r="P129" s="4" t="s">
        <v>228</v>
      </c>
      <c r="Q129" s="41"/>
      <c r="R129" s="41"/>
      <c r="S129" s="41"/>
      <c r="T129" s="41"/>
      <c r="U129" s="41" t="s">
        <v>228</v>
      </c>
      <c r="V129" s="54"/>
      <c r="AS129"/>
    </row>
    <row r="130" spans="1:45" x14ac:dyDescent="0.3">
      <c r="A130">
        <v>3005</v>
      </c>
      <c r="B130" s="37" t="str">
        <f>VLOOKUP(A130,'Monthly EE List'!A:D,4,0)&amp;" "&amp;VLOOKUP(A130,'Monthly EE List'!A:D,3,0)</f>
        <v>HORST SCHWINGBOTH</v>
      </c>
      <c r="C130" s="38" t="s">
        <v>410</v>
      </c>
      <c r="D130" s="4" t="s">
        <v>599</v>
      </c>
      <c r="E130" t="s">
        <v>110</v>
      </c>
      <c r="F130" t="s">
        <v>214</v>
      </c>
      <c r="G130" s="4" t="s">
        <v>142</v>
      </c>
      <c r="H130" s="4" t="str">
        <f>VLOOKUP(A130,'Monthly EE List'!A:G,7,0)</f>
        <v>A</v>
      </c>
      <c r="J130" s="5"/>
      <c r="L130" s="4" t="str">
        <f t="shared" ca="1" si="1"/>
        <v/>
      </c>
      <c r="M130" s="6" t="str">
        <f>IF(VLOOKUP($C$4,Working!$A$23:$L$52,Working!$F$21,0)="Y",TEXT($C$6,"YYYYMM")&amp;"_"&amp;$E130&amp;"_"&amp;Working!$B$11&amp;Working!$B$12,"")</f>
        <v>201703_WZ120_Top15.xlsx</v>
      </c>
      <c r="N130" s="6" t="str">
        <f>IF(VLOOKUP($C$4,Working!$A$23:$L$52,Working!$I$21,0)="Y",TEXT($C$6,"YYYYMM")&amp;"_"&amp;$E130&amp;"_"&amp;Working!$B$13&amp;Working!$B$14,"")</f>
        <v/>
      </c>
      <c r="O130" s="4" t="s">
        <v>228</v>
      </c>
      <c r="P130" s="4" t="s">
        <v>228</v>
      </c>
      <c r="Q130" s="41"/>
      <c r="R130" s="41"/>
      <c r="S130" s="41"/>
      <c r="T130" s="41"/>
      <c r="U130" s="41" t="s">
        <v>228</v>
      </c>
      <c r="V130" s="54"/>
      <c r="AS130"/>
    </row>
    <row r="131" spans="1:45" x14ac:dyDescent="0.3">
      <c r="A131">
        <v>3007</v>
      </c>
      <c r="B131" s="37" t="str">
        <f>VLOOKUP(A131,'Monthly EE List'!A:D,4,0)&amp;" "&amp;VLOOKUP(A131,'Monthly EE List'!A:D,3,0)</f>
        <v>DAVID MARSH</v>
      </c>
      <c r="C131" s="38" t="s">
        <v>411</v>
      </c>
      <c r="D131" s="4" t="s">
        <v>599</v>
      </c>
      <c r="E131" t="s">
        <v>111</v>
      </c>
      <c r="F131" t="s">
        <v>222</v>
      </c>
      <c r="G131" s="4" t="s">
        <v>142</v>
      </c>
      <c r="H131" s="4" t="str">
        <f>VLOOKUP(A131,'Monthly EE List'!A:G,7,0)</f>
        <v>A</v>
      </c>
      <c r="J131" s="5"/>
      <c r="L131" s="4" t="str">
        <f t="shared" ca="1" si="1"/>
        <v/>
      </c>
      <c r="M131" s="6" t="str">
        <f>IF(VLOOKUP($C$4,Working!$A$23:$L$52,Working!$F$21,0)="Y",TEXT($C$6,"YYYYMM")&amp;"_"&amp;$E131&amp;"_"&amp;Working!$B$11&amp;Working!$B$12,"")</f>
        <v>201703_WZ118_Top15.xlsx</v>
      </c>
      <c r="N131" s="6" t="str">
        <f>IF(VLOOKUP($C$4,Working!$A$23:$L$52,Working!$I$21,0)="Y",TEXT($C$6,"YYYYMM")&amp;"_"&amp;$E131&amp;"_"&amp;Working!$B$13&amp;Working!$B$14,"")</f>
        <v/>
      </c>
      <c r="O131" s="4" t="s">
        <v>228</v>
      </c>
      <c r="P131" s="4" t="s">
        <v>228</v>
      </c>
      <c r="Q131" s="41"/>
      <c r="R131" s="41"/>
      <c r="S131" s="41"/>
      <c r="T131" s="41"/>
      <c r="U131" s="41" t="s">
        <v>228</v>
      </c>
      <c r="V131" s="54"/>
      <c r="AS131"/>
    </row>
    <row r="132" spans="1:45" x14ac:dyDescent="0.3">
      <c r="A132">
        <v>3008</v>
      </c>
      <c r="B132" s="37" t="str">
        <f>VLOOKUP(A132,'Monthly EE List'!A:D,4,0)&amp;" "&amp;VLOOKUP(A132,'Monthly EE List'!A:D,3,0)</f>
        <v>KRISTA SHOSTAK</v>
      </c>
      <c r="C132" s="38" t="s">
        <v>412</v>
      </c>
      <c r="D132" s="4" t="s">
        <v>599</v>
      </c>
      <c r="E132" t="s">
        <v>112</v>
      </c>
      <c r="F132" t="s">
        <v>223</v>
      </c>
      <c r="G132" s="4" t="s">
        <v>142</v>
      </c>
      <c r="H132" s="4" t="str">
        <f>VLOOKUP(A132,'Monthly EE List'!A:G,7,0)</f>
        <v>A</v>
      </c>
      <c r="J132" s="5"/>
      <c r="L132" s="4" t="str">
        <f t="shared" ca="1" si="1"/>
        <v/>
      </c>
      <c r="M132" s="6" t="str">
        <f>IF(VLOOKUP($C$4,Working!$A$23:$L$52,Working!$F$21,0)="Y",TEXT($C$6,"YYYYMM")&amp;"_"&amp;$E132&amp;"_"&amp;Working!$B$11&amp;Working!$B$12,"")</f>
        <v>201703_WZ119_Top15.xlsx</v>
      </c>
      <c r="N132" s="6" t="str">
        <f>IF(VLOOKUP($C$4,Working!$A$23:$L$52,Working!$I$21,0)="Y",TEXT($C$6,"YYYYMM")&amp;"_"&amp;$E132&amp;"_"&amp;Working!$B$13&amp;Working!$B$14,"")</f>
        <v/>
      </c>
      <c r="O132" s="4" t="s">
        <v>228</v>
      </c>
      <c r="P132" s="4" t="s">
        <v>228</v>
      </c>
      <c r="Q132" s="41"/>
      <c r="R132" s="41"/>
      <c r="S132" s="41"/>
      <c r="T132" s="41"/>
      <c r="U132" s="41" t="s">
        <v>228</v>
      </c>
      <c r="V132" s="54"/>
      <c r="AS132"/>
    </row>
    <row r="133" spans="1:45" x14ac:dyDescent="0.3">
      <c r="A133">
        <v>3014</v>
      </c>
      <c r="B133" s="37" t="str">
        <f>VLOOKUP(A133,'Monthly EE List'!A:D,4,0)&amp;" "&amp;VLOOKUP(A133,'Monthly EE List'!A:D,3,0)</f>
        <v>DENISE BEVAN</v>
      </c>
      <c r="C133" s="38" t="s">
        <v>414</v>
      </c>
      <c r="D133" s="4" t="s">
        <v>599</v>
      </c>
      <c r="E133" t="s">
        <v>113</v>
      </c>
      <c r="F133" t="s">
        <v>214</v>
      </c>
      <c r="G133" s="4" t="s">
        <v>142</v>
      </c>
      <c r="H133" s="4" t="str">
        <f>VLOOKUP(A133,'Monthly EE List'!A:G,7,0)</f>
        <v>A</v>
      </c>
      <c r="J133" s="5"/>
      <c r="L133" s="4" t="str">
        <f t="shared" ca="1" si="1"/>
        <v/>
      </c>
      <c r="M133" s="6" t="str">
        <f>IF(VLOOKUP($C$4,Working!$A$23:$L$52,Working!$F$21,0)="Y",TEXT($C$6,"YYYYMM")&amp;"_"&amp;$E133&amp;"_"&amp;Working!$B$11&amp;Working!$B$12,"")</f>
        <v>201703_WZ138_Top15.xlsx</v>
      </c>
      <c r="N133" s="6" t="str">
        <f>IF(VLOOKUP($C$4,Working!$A$23:$L$52,Working!$I$21,0)="Y",TEXT($C$6,"YYYYMM")&amp;"_"&amp;$E133&amp;"_"&amp;Working!$B$13&amp;Working!$B$14,"")</f>
        <v/>
      </c>
      <c r="O133" s="4" t="s">
        <v>228</v>
      </c>
      <c r="P133" s="4" t="s">
        <v>228</v>
      </c>
      <c r="Q133" s="41"/>
      <c r="R133" s="41"/>
      <c r="S133" s="41"/>
      <c r="T133" s="41"/>
      <c r="U133" s="41" t="s">
        <v>228</v>
      </c>
      <c r="V133" s="54"/>
      <c r="AS133"/>
    </row>
    <row r="134" spans="1:45" x14ac:dyDescent="0.3">
      <c r="A134">
        <v>3015</v>
      </c>
      <c r="B134" s="37" t="str">
        <f>VLOOKUP(A134,'Monthly EE List'!A:D,4,0)&amp;" "&amp;VLOOKUP(A134,'Monthly EE List'!A:D,3,0)</f>
        <v>WARREN BOBINSKI</v>
      </c>
      <c r="C134" s="38" t="s">
        <v>415</v>
      </c>
      <c r="D134" s="4" t="s">
        <v>599</v>
      </c>
      <c r="E134" t="s">
        <v>114</v>
      </c>
      <c r="F134" t="s">
        <v>224</v>
      </c>
      <c r="G134" s="4" t="s">
        <v>142</v>
      </c>
      <c r="H134" s="4" t="str">
        <f>VLOOKUP(A134,'Monthly EE List'!A:G,7,0)</f>
        <v>A</v>
      </c>
      <c r="J134" s="5"/>
      <c r="L134" s="4" t="str">
        <f t="shared" ca="1" si="1"/>
        <v/>
      </c>
      <c r="M134" s="6" t="str">
        <f>IF(VLOOKUP($C$4,Working!$A$23:$L$52,Working!$F$21,0)="Y",TEXT($C$6,"YYYYMM")&amp;"_"&amp;$E134&amp;"_"&amp;Working!$B$11&amp;Working!$B$12,"")</f>
        <v>201703_WZ142_Top15.xlsx</v>
      </c>
      <c r="N134" s="6" t="str">
        <f>IF(VLOOKUP($C$4,Working!$A$23:$L$52,Working!$I$21,0)="Y",TEXT($C$6,"YYYYMM")&amp;"_"&amp;$E134&amp;"_"&amp;Working!$B$13&amp;Working!$B$14,"")</f>
        <v/>
      </c>
      <c r="O134" s="4" t="s">
        <v>228</v>
      </c>
      <c r="P134" s="4" t="s">
        <v>228</v>
      </c>
      <c r="Q134" s="41"/>
      <c r="R134" s="41"/>
      <c r="S134" s="41"/>
      <c r="T134" s="41"/>
      <c r="U134" s="41" t="s">
        <v>228</v>
      </c>
      <c r="V134" s="54"/>
      <c r="AS134"/>
    </row>
    <row r="135" spans="1:45" x14ac:dyDescent="0.3">
      <c r="A135">
        <v>3018</v>
      </c>
      <c r="B135" s="37" t="str">
        <f>VLOOKUP(A135,'Monthly EE List'!A:D,4,0)&amp;" "&amp;VLOOKUP(A135,'Monthly EE List'!A:D,3,0)</f>
        <v>MARTIN SCHNEIDER</v>
      </c>
      <c r="C135" s="38" t="s">
        <v>298</v>
      </c>
      <c r="D135" s="4" t="s">
        <v>599</v>
      </c>
      <c r="E135">
        <v>60413</v>
      </c>
      <c r="F135" t="s">
        <v>214</v>
      </c>
      <c r="G135" s="4" t="s">
        <v>244</v>
      </c>
      <c r="H135" s="4" t="str">
        <f>VLOOKUP(A135,'Monthly EE List'!A:G,7,0)</f>
        <v>A</v>
      </c>
      <c r="J135" s="5">
        <v>41744</v>
      </c>
      <c r="K135" t="s">
        <v>2664</v>
      </c>
      <c r="L135" s="4" t="str">
        <f t="shared" ca="1" si="1"/>
        <v/>
      </c>
      <c r="M135" s="6" t="str">
        <f>IF(VLOOKUP($C$4,Working!$A$23:$L$52,Working!$F$21,0)="Y",TEXT($C$6,"YYYYMM")&amp;"_"&amp;$E135&amp;"_"&amp;Working!$B$11&amp;Working!$B$12,"")</f>
        <v>201703_60413_Top15.xlsx</v>
      </c>
      <c r="N135" s="6" t="str">
        <f>IF(VLOOKUP($C$4,Working!$A$23:$L$52,Working!$I$21,0)="Y",TEXT($C$6,"YYYYMM")&amp;"_"&amp;$E135&amp;"_"&amp;Working!$B$13&amp;Working!$B$14,"")</f>
        <v/>
      </c>
      <c r="O135" s="4"/>
      <c r="P135" s="4"/>
      <c r="Q135" s="41" t="s">
        <v>228</v>
      </c>
      <c r="R135" s="41"/>
      <c r="S135" s="41"/>
      <c r="T135" s="41"/>
      <c r="U135" s="41"/>
      <c r="V135" s="4"/>
      <c r="AS135"/>
    </row>
    <row r="136" spans="1:45" x14ac:dyDescent="0.3">
      <c r="A136">
        <v>3020</v>
      </c>
      <c r="B136" s="37" t="str">
        <f>VLOOKUP(A136,'Monthly EE List'!A:D,4,0)&amp;" "&amp;VLOOKUP(A136,'Monthly EE List'!A:D,3,0)</f>
        <v>DANIEL BOYKO</v>
      </c>
      <c r="C136" s="38" t="s">
        <v>257</v>
      </c>
      <c r="D136" s="4" t="s">
        <v>599</v>
      </c>
      <c r="E136">
        <v>60406</v>
      </c>
      <c r="F136" t="s">
        <v>214</v>
      </c>
      <c r="G136" s="4" t="s">
        <v>244</v>
      </c>
      <c r="H136" s="4" t="str">
        <f>VLOOKUP(A136,'Monthly EE List'!A:G,7,0)</f>
        <v>A</v>
      </c>
      <c r="J136" s="5"/>
      <c r="L136" s="4" t="str">
        <f t="shared" ref="L136:L206" ca="1" si="2">IF(OFFSET(N136,,$C$4)="X","X","")</f>
        <v/>
      </c>
      <c r="M136" s="6" t="str">
        <f>IF(VLOOKUP($C$4,Working!$A$23:$L$52,Working!$F$21,0)="Y",TEXT($C$6,"YYYYMM")&amp;"_"&amp;$E136&amp;"_"&amp;Working!$B$11&amp;Working!$B$12,"")</f>
        <v>201703_60406_Top15.xlsx</v>
      </c>
      <c r="N136" s="6" t="str">
        <f>IF(VLOOKUP($C$4,Working!$A$23:$L$52,Working!$I$21,0)="Y",TEXT($C$6,"YYYYMM")&amp;"_"&amp;$E136&amp;"_"&amp;Working!$B$13&amp;Working!$B$14,"")</f>
        <v/>
      </c>
      <c r="O136" s="4"/>
      <c r="P136" s="4"/>
      <c r="Q136" s="41" t="s">
        <v>228</v>
      </c>
      <c r="R136" s="41"/>
      <c r="S136" s="41"/>
      <c r="T136" s="41"/>
      <c r="U136" s="41"/>
      <c r="V136" s="4"/>
      <c r="AS136"/>
    </row>
    <row r="137" spans="1:45" x14ac:dyDescent="0.3">
      <c r="A137">
        <v>3023</v>
      </c>
      <c r="B137" s="37" t="str">
        <f>VLOOKUP(A137,'Monthly EE List'!A:D,4,0)&amp;" "&amp;VLOOKUP(A137,'Monthly EE List'!A:D,3,0)</f>
        <v>R_GREY KNECHTEL</v>
      </c>
      <c r="C137" s="38" t="s">
        <v>416</v>
      </c>
      <c r="D137" s="4" t="s">
        <v>599</v>
      </c>
      <c r="E137" t="s">
        <v>115</v>
      </c>
      <c r="F137" t="s">
        <v>225</v>
      </c>
      <c r="G137" s="4" t="s">
        <v>3007</v>
      </c>
      <c r="H137" s="4" t="str">
        <f>VLOOKUP(A137,'Monthly EE List'!A:G,7,0)</f>
        <v>A</v>
      </c>
      <c r="I137" t="s">
        <v>212</v>
      </c>
      <c r="J137" s="5">
        <v>41320</v>
      </c>
      <c r="K137" t="s">
        <v>2851</v>
      </c>
      <c r="L137" s="4" t="str">
        <f t="shared" ca="1" si="2"/>
        <v/>
      </c>
      <c r="M137" s="6" t="str">
        <f>IF(VLOOKUP($C$4,Working!$A$23:$L$52,Working!$F$21,0)="Y",TEXT($C$6,"YYYYMM")&amp;"_"&amp;$E137&amp;"_"&amp;Working!$B$11&amp;Working!$B$12,"")</f>
        <v>201703_WZ131_Top15.xlsx</v>
      </c>
      <c r="N137" s="6" t="str">
        <f>IF(VLOOKUP($C$4,Working!$A$23:$L$52,Working!$I$21,0)="Y",TEXT($C$6,"YYYYMM")&amp;"_"&amp;$E137&amp;"_"&amp;Working!$B$13&amp;Working!$B$14,"")</f>
        <v/>
      </c>
      <c r="O137" s="4" t="s">
        <v>228</v>
      </c>
      <c r="P137" s="54"/>
      <c r="Q137" s="41"/>
      <c r="R137" s="41"/>
      <c r="S137" s="41"/>
      <c r="T137" s="41"/>
      <c r="U137" s="65"/>
      <c r="V137" s="4"/>
      <c r="AS137"/>
    </row>
    <row r="138" spans="1:45" x14ac:dyDescent="0.3">
      <c r="A138">
        <v>3025</v>
      </c>
      <c r="B138" s="37" t="str">
        <f>VLOOKUP(A138,'Monthly EE List'!A:D,4,0)&amp;" "&amp;VLOOKUP(A138,'Monthly EE List'!A:D,3,0)</f>
        <v>DEREK PECYNA</v>
      </c>
      <c r="C138" s="38" t="s">
        <v>417</v>
      </c>
      <c r="D138" s="4" t="s">
        <v>599</v>
      </c>
      <c r="E138" t="s">
        <v>116</v>
      </c>
      <c r="F138" t="s">
        <v>214</v>
      </c>
      <c r="G138" s="4" t="s">
        <v>142</v>
      </c>
      <c r="H138" s="4" t="str">
        <f>VLOOKUP(A138,'Monthly EE List'!A:G,7,0)</f>
        <v>A</v>
      </c>
      <c r="J138" s="5"/>
      <c r="L138" s="4" t="str">
        <f t="shared" ca="1" si="2"/>
        <v/>
      </c>
      <c r="M138" s="6" t="str">
        <f>IF(VLOOKUP($C$4,Working!$A$23:$L$52,Working!$F$21,0)="Y",TEXT($C$6,"YYYYMM")&amp;"_"&amp;$E138&amp;"_"&amp;Working!$B$11&amp;Working!$B$12,"")</f>
        <v>201703_WZ134_Top15.xlsx</v>
      </c>
      <c r="N138" s="6" t="str">
        <f>IF(VLOOKUP($C$4,Working!$A$23:$L$52,Working!$I$21,0)="Y",TEXT($C$6,"YYYYMM")&amp;"_"&amp;$E138&amp;"_"&amp;Working!$B$13&amp;Working!$B$14,"")</f>
        <v/>
      </c>
      <c r="O138" s="4" t="s">
        <v>228</v>
      </c>
      <c r="P138" s="4" t="s">
        <v>228</v>
      </c>
      <c r="Q138" s="41"/>
      <c r="R138" s="41"/>
      <c r="S138" s="41"/>
      <c r="T138" s="41"/>
      <c r="U138" s="41" t="s">
        <v>228</v>
      </c>
      <c r="V138" s="54"/>
      <c r="AS138"/>
    </row>
    <row r="139" spans="1:45" x14ac:dyDescent="0.3">
      <c r="A139">
        <v>3026</v>
      </c>
      <c r="B139" s="37" t="str">
        <f>VLOOKUP(A139,'Monthly EE List'!A:D,4,0)&amp;" "&amp;VLOOKUP(A139,'Monthly EE List'!A:D,3,0)</f>
        <v>DONALD FRANSEN</v>
      </c>
      <c r="C139" s="38" t="s">
        <v>418</v>
      </c>
      <c r="D139" s="4" t="s">
        <v>599</v>
      </c>
      <c r="E139" t="s">
        <v>117</v>
      </c>
      <c r="F139" t="s">
        <v>225</v>
      </c>
      <c r="G139" s="4" t="s">
        <v>142</v>
      </c>
      <c r="H139" s="4" t="str">
        <f>VLOOKUP(A139,'Monthly EE List'!A:G,7,0)</f>
        <v>A</v>
      </c>
      <c r="I139" t="s">
        <v>212</v>
      </c>
      <c r="J139" s="5">
        <v>41654</v>
      </c>
      <c r="K139" t="s">
        <v>2664</v>
      </c>
      <c r="L139" s="4" t="str">
        <f t="shared" ca="1" si="2"/>
        <v/>
      </c>
      <c r="M139" s="6" t="str">
        <f>IF(VLOOKUP($C$4,Working!$A$23:$L$52,Working!$F$21,0)="Y",TEXT($C$6,"YYYYMM")&amp;"_"&amp;$E139&amp;"_"&amp;Working!$B$11&amp;Working!$B$12,"")</f>
        <v>201703_WZ123_Top15.xlsx</v>
      </c>
      <c r="N139" s="6" t="str">
        <f>IF(VLOOKUP($C$4,Working!$A$23:$L$52,Working!$I$21,0)="Y",TEXT($C$6,"YYYYMM")&amp;"_"&amp;$E139&amp;"_"&amp;Working!$B$13&amp;Working!$B$14,"")</f>
        <v/>
      </c>
      <c r="O139" s="4" t="s">
        <v>228</v>
      </c>
      <c r="P139" s="4" t="s">
        <v>228</v>
      </c>
      <c r="Q139" s="41"/>
      <c r="R139" s="41"/>
      <c r="S139" s="41"/>
      <c r="T139" s="41"/>
      <c r="U139" s="41" t="s">
        <v>228</v>
      </c>
      <c r="V139" s="4"/>
      <c r="AS139"/>
    </row>
    <row r="140" spans="1:45" x14ac:dyDescent="0.3">
      <c r="A140">
        <v>3031</v>
      </c>
      <c r="B140" s="37" t="str">
        <f>VLOOKUP(A140,'Monthly EE List'!A:D,4,0)&amp;" "&amp;VLOOKUP(A140,'Monthly EE List'!A:D,3,0)</f>
        <v>IAN SHYPANSKI</v>
      </c>
      <c r="C140" s="38" t="s">
        <v>281</v>
      </c>
      <c r="D140" s="4" t="s">
        <v>599</v>
      </c>
      <c r="E140">
        <v>78003</v>
      </c>
      <c r="F140" t="s">
        <v>225</v>
      </c>
      <c r="G140" s="4" t="s">
        <v>244</v>
      </c>
      <c r="H140" s="4" t="str">
        <f>VLOOKUP(A140,'Monthly EE List'!A:G,7,0)</f>
        <v>A</v>
      </c>
      <c r="I140" t="s">
        <v>212</v>
      </c>
      <c r="J140" s="5">
        <v>42704</v>
      </c>
      <c r="K140" t="s">
        <v>571</v>
      </c>
      <c r="L140" s="4" t="str">
        <f t="shared" ca="1" si="2"/>
        <v/>
      </c>
      <c r="M140" s="6" t="str">
        <f>IF(VLOOKUP($C$4,Working!$A$23:$L$52,Working!$F$21,0)="Y",TEXT($C$6,"YYYYMM")&amp;"_"&amp;$E140&amp;"_"&amp;Working!$B$11&amp;Working!$B$12,"")</f>
        <v>201703_78003_Top15.xlsx</v>
      </c>
      <c r="N140" s="6" t="str">
        <f>IF(VLOOKUP($C$4,Working!$A$23:$L$52,Working!$I$21,0)="Y",TEXT($C$6,"YYYYMM")&amp;"_"&amp;$E140&amp;"_"&amp;Working!$B$13&amp;Working!$B$14,"")</f>
        <v/>
      </c>
      <c r="O140" s="4"/>
      <c r="P140" s="4"/>
      <c r="Q140" s="41" t="s">
        <v>228</v>
      </c>
      <c r="R140" s="41"/>
      <c r="S140" s="41"/>
      <c r="T140" s="41"/>
      <c r="U140" s="41"/>
      <c r="V140" s="4"/>
      <c r="AS140"/>
    </row>
    <row r="141" spans="1:45" x14ac:dyDescent="0.3">
      <c r="A141">
        <v>3034</v>
      </c>
      <c r="B141" s="37" t="str">
        <f>VLOOKUP(A141,'Monthly EE List'!A:D,4,0)&amp;" "&amp;VLOOKUP(A141,'Monthly EE List'!A:D,3,0)</f>
        <v>DAVID WILLIAMS</v>
      </c>
      <c r="C141" s="38" t="s">
        <v>264</v>
      </c>
      <c r="D141" s="4" t="s">
        <v>599</v>
      </c>
      <c r="E141">
        <v>60405</v>
      </c>
      <c r="F141" t="s">
        <v>214</v>
      </c>
      <c r="G141" s="4" t="s">
        <v>244</v>
      </c>
      <c r="H141" s="4" t="str">
        <f>VLOOKUP(A141,'Monthly EE List'!A:G,7,0)</f>
        <v>A</v>
      </c>
      <c r="J141" s="5"/>
      <c r="L141" s="4" t="str">
        <f t="shared" ca="1" si="2"/>
        <v/>
      </c>
      <c r="M141" s="6" t="str">
        <f>IF(VLOOKUP($C$4,Working!$A$23:$L$52,Working!$F$21,0)="Y",TEXT($C$6,"YYYYMM")&amp;"_"&amp;$E141&amp;"_"&amp;Working!$B$11&amp;Working!$B$12,"")</f>
        <v>201703_60405_Top15.xlsx</v>
      </c>
      <c r="N141" s="6" t="str">
        <f>IF(VLOOKUP($C$4,Working!$A$23:$L$52,Working!$I$21,0)="Y",TEXT($C$6,"YYYYMM")&amp;"_"&amp;$E141&amp;"_"&amp;Working!$B$13&amp;Working!$B$14,"")</f>
        <v/>
      </c>
      <c r="O141" s="4"/>
      <c r="P141" s="4"/>
      <c r="Q141" s="41" t="s">
        <v>228</v>
      </c>
      <c r="R141" s="41"/>
      <c r="S141" s="41"/>
      <c r="T141" s="41"/>
      <c r="U141" s="41"/>
      <c r="V141" s="4"/>
      <c r="AS141"/>
    </row>
    <row r="142" spans="1:45" x14ac:dyDescent="0.3">
      <c r="A142">
        <v>3035</v>
      </c>
      <c r="B142" s="37" t="str">
        <f>VLOOKUP(A142,'Monthly EE List'!A:D,4,0)&amp;" "&amp;VLOOKUP(A142,'Monthly EE List'!A:D,3,0)</f>
        <v>RAYMOND GAUVIN</v>
      </c>
      <c r="C142" s="38" t="s">
        <v>310</v>
      </c>
      <c r="D142" s="4" t="s">
        <v>599</v>
      </c>
      <c r="E142">
        <v>40307</v>
      </c>
      <c r="F142" t="s">
        <v>223</v>
      </c>
      <c r="G142" s="4" t="s">
        <v>244</v>
      </c>
      <c r="H142" s="4" t="str">
        <f>VLOOKUP(A142,'Monthly EE List'!A:G,7,0)</f>
        <v>A</v>
      </c>
      <c r="J142" s="5"/>
      <c r="L142" s="4" t="str">
        <f t="shared" ca="1" si="2"/>
        <v/>
      </c>
      <c r="M142" s="6" t="str">
        <f>IF(VLOOKUP($C$4,Working!$A$23:$L$52,Working!$F$21,0)="Y",TEXT($C$6,"YYYYMM")&amp;"_"&amp;$E142&amp;"_"&amp;Working!$B$11&amp;Working!$B$12,"")</f>
        <v>201703_40307_Top15.xlsx</v>
      </c>
      <c r="N142" s="6" t="str">
        <f>IF(VLOOKUP($C$4,Working!$A$23:$L$52,Working!$I$21,0)="Y",TEXT($C$6,"YYYYMM")&amp;"_"&amp;$E142&amp;"_"&amp;Working!$B$13&amp;Working!$B$14,"")</f>
        <v/>
      </c>
      <c r="O142" s="4"/>
      <c r="P142" s="4"/>
      <c r="Q142" s="41" t="s">
        <v>228</v>
      </c>
      <c r="R142" s="41"/>
      <c r="S142" s="41"/>
      <c r="T142" s="41"/>
      <c r="U142" s="41"/>
      <c r="V142" s="4"/>
      <c r="AS142"/>
    </row>
    <row r="143" spans="1:45" x14ac:dyDescent="0.3">
      <c r="A143">
        <v>3037</v>
      </c>
      <c r="B143" s="37" t="str">
        <f>VLOOKUP(A143,'Monthly EE List'!A:D,4,0)&amp;" "&amp;VLOOKUP(A143,'Monthly EE List'!A:D,3,0)</f>
        <v>MONIQUE KONKIN</v>
      </c>
      <c r="C143" s="38" t="s">
        <v>3031</v>
      </c>
      <c r="D143" s="4" t="s">
        <v>599</v>
      </c>
      <c r="E143" t="s">
        <v>118</v>
      </c>
      <c r="F143" t="s">
        <v>214</v>
      </c>
      <c r="G143" s="4" t="s">
        <v>142</v>
      </c>
      <c r="H143" s="4" t="str">
        <f>VLOOKUP(A143,'Monthly EE List'!A:G,7,0)</f>
        <v>A</v>
      </c>
      <c r="I143" t="s">
        <v>212</v>
      </c>
      <c r="J143" s="5">
        <v>41564</v>
      </c>
      <c r="K143" t="s">
        <v>3032</v>
      </c>
      <c r="L143" s="4" t="str">
        <f t="shared" ca="1" si="2"/>
        <v/>
      </c>
      <c r="M143" s="6" t="str">
        <f>IF(VLOOKUP($C$4,Working!$A$23:$L$52,Working!$F$21,0)="Y",TEXT($C$6,"YYYYMM")&amp;"_"&amp;$E143&amp;"_"&amp;Working!$B$11&amp;Working!$B$12,"")</f>
        <v>201703_WZ136_Top15.xlsx</v>
      </c>
      <c r="N143" s="6" t="str">
        <f>IF(VLOOKUP($C$4,Working!$A$23:$L$52,Working!$I$21,0)="Y",TEXT($C$6,"YYYYMM")&amp;"_"&amp;$E143&amp;"_"&amp;Working!$B$13&amp;Working!$B$14,"")</f>
        <v/>
      </c>
      <c r="O143" s="4" t="s">
        <v>228</v>
      </c>
      <c r="P143" s="4" t="s">
        <v>228</v>
      </c>
      <c r="Q143" s="41"/>
      <c r="R143" s="41"/>
      <c r="S143" s="41"/>
      <c r="T143" s="41"/>
      <c r="U143" s="41" t="s">
        <v>228</v>
      </c>
      <c r="V143" s="54"/>
      <c r="AS143"/>
    </row>
    <row r="144" spans="1:45" x14ac:dyDescent="0.3">
      <c r="A144">
        <v>3040</v>
      </c>
      <c r="B144" s="37" t="str">
        <f>VLOOKUP(A144,'Monthly EE List'!A:D,4,0)&amp;" "&amp;VLOOKUP(A144,'Monthly EE List'!A:D,3,0)</f>
        <v>GERRIT VANDENBERG</v>
      </c>
      <c r="C144" s="38" t="s">
        <v>277</v>
      </c>
      <c r="D144" s="4" t="s">
        <v>599</v>
      </c>
      <c r="E144">
        <v>60403</v>
      </c>
      <c r="F144" t="s">
        <v>214</v>
      </c>
      <c r="G144" s="4" t="s">
        <v>244</v>
      </c>
      <c r="H144" s="4" t="str">
        <f>VLOOKUP(A144,'Monthly EE List'!A:G,7,0)</f>
        <v>A</v>
      </c>
      <c r="I144" t="s">
        <v>212</v>
      </c>
      <c r="J144" s="5">
        <v>42794</v>
      </c>
      <c r="K144" t="s">
        <v>2366</v>
      </c>
      <c r="L144" s="4" t="str">
        <f t="shared" ca="1" si="2"/>
        <v/>
      </c>
      <c r="M144" s="6" t="str">
        <f>IF(VLOOKUP($C$4,Working!$A$23:$L$52,Working!$F$21,0)="Y",TEXT($C$6,"YYYYMM")&amp;"_"&amp;$E144&amp;"_"&amp;Working!$B$11&amp;Working!$B$12,"")</f>
        <v>201703_60403_Top15.xlsx</v>
      </c>
      <c r="N144" s="6" t="str">
        <f>IF(VLOOKUP($C$4,Working!$A$23:$L$52,Working!$I$21,0)="Y",TEXT($C$6,"YYYYMM")&amp;"_"&amp;$E144&amp;"_"&amp;Working!$B$13&amp;Working!$B$14,"")</f>
        <v/>
      </c>
      <c r="O144" s="4"/>
      <c r="P144" s="4"/>
      <c r="Q144" s="41" t="s">
        <v>228</v>
      </c>
      <c r="R144" s="41"/>
      <c r="S144" s="41"/>
      <c r="T144" s="41"/>
      <c r="U144" s="41"/>
      <c r="V144" s="4"/>
      <c r="AS144"/>
    </row>
    <row r="145" spans="1:45" x14ac:dyDescent="0.3">
      <c r="A145">
        <v>3047</v>
      </c>
      <c r="B145" s="37" t="str">
        <f>VLOOKUP(A145,'Monthly EE List'!A:D,4,0)&amp;" "&amp;VLOOKUP(A145,'Monthly EE List'!A:D,3,0)</f>
        <v>LYNNE WILLOX</v>
      </c>
      <c r="C145" s="38" t="s">
        <v>419</v>
      </c>
      <c r="D145" s="4" t="s">
        <v>599</v>
      </c>
      <c r="E145" t="s">
        <v>119</v>
      </c>
      <c r="F145" t="s">
        <v>214</v>
      </c>
      <c r="G145" s="4" t="s">
        <v>142</v>
      </c>
      <c r="H145" s="4" t="str">
        <f>VLOOKUP(A145,'Monthly EE List'!A:G,7,0)</f>
        <v>A</v>
      </c>
      <c r="J145" s="5"/>
      <c r="L145" s="4" t="str">
        <f t="shared" ca="1" si="2"/>
        <v/>
      </c>
      <c r="M145" s="6" t="str">
        <f>IF(VLOOKUP($C$4,Working!$A$23:$L$52,Working!$F$21,0)="Y",TEXT($C$6,"YYYYMM")&amp;"_"&amp;$E145&amp;"_"&amp;Working!$B$11&amp;Working!$B$12,"")</f>
        <v>201703_WZ165_Top15.xlsx</v>
      </c>
      <c r="N145" s="6" t="str">
        <f>IF(VLOOKUP($C$4,Working!$A$23:$L$52,Working!$I$21,0)="Y",TEXT($C$6,"YYYYMM")&amp;"_"&amp;$E145&amp;"_"&amp;Working!$B$13&amp;Working!$B$14,"")</f>
        <v/>
      </c>
      <c r="O145" s="4" t="s">
        <v>228</v>
      </c>
      <c r="P145" s="4" t="s">
        <v>228</v>
      </c>
      <c r="Q145" s="41"/>
      <c r="R145" s="41"/>
      <c r="S145" s="41"/>
      <c r="T145" s="41"/>
      <c r="U145" s="41" t="s">
        <v>228</v>
      </c>
      <c r="V145" s="54"/>
      <c r="AS145"/>
    </row>
    <row r="146" spans="1:45" x14ac:dyDescent="0.3">
      <c r="A146">
        <v>3053</v>
      </c>
      <c r="B146" s="37" t="str">
        <f>VLOOKUP(A146,'Monthly EE List'!A:D,4,0)&amp;" "&amp;VLOOKUP(A146,'Monthly EE List'!A:D,3,0)</f>
        <v>KEN CAMPBELL</v>
      </c>
      <c r="C146" s="38" t="s">
        <v>421</v>
      </c>
      <c r="D146" s="4" t="s">
        <v>599</v>
      </c>
      <c r="E146" t="s">
        <v>121</v>
      </c>
      <c r="F146" t="s">
        <v>222</v>
      </c>
      <c r="G146" s="4" t="s">
        <v>142</v>
      </c>
      <c r="H146" s="4" t="str">
        <f>VLOOKUP(A146,'Monthly EE List'!A:G,7,0)</f>
        <v>A</v>
      </c>
      <c r="J146" s="5"/>
      <c r="L146" s="4" t="str">
        <f t="shared" ca="1" si="2"/>
        <v/>
      </c>
      <c r="M146" s="6" t="str">
        <f>IF(VLOOKUP($C$4,Working!$A$23:$L$52,Working!$F$21,0)="Y",TEXT($C$6,"YYYYMM")&amp;"_"&amp;$E146&amp;"_"&amp;Working!$B$11&amp;Working!$B$12,"")</f>
        <v>201703_WZ1FF_Top15.xlsx</v>
      </c>
      <c r="N146" s="6" t="str">
        <f>IF(VLOOKUP($C$4,Working!$A$23:$L$52,Working!$I$21,0)="Y",TEXT($C$6,"YYYYMM")&amp;"_"&amp;$E146&amp;"_"&amp;Working!$B$13&amp;Working!$B$14,"")</f>
        <v/>
      </c>
      <c r="O146" s="4" t="s">
        <v>228</v>
      </c>
      <c r="P146" s="4" t="s">
        <v>228</v>
      </c>
      <c r="Q146" s="41"/>
      <c r="R146" s="41"/>
      <c r="S146" s="41"/>
      <c r="T146" s="41"/>
      <c r="U146" s="41" t="s">
        <v>228</v>
      </c>
      <c r="V146" s="54"/>
      <c r="AS146"/>
    </row>
    <row r="147" spans="1:45" x14ac:dyDescent="0.3">
      <c r="A147">
        <v>3054</v>
      </c>
      <c r="B147" s="37" t="str">
        <f>VLOOKUP(A147,'Monthly EE List'!A:D,4,0)&amp;" "&amp;VLOOKUP(A147,'Monthly EE List'!A:D,3,0)</f>
        <v>MARK VANDERHAM</v>
      </c>
      <c r="C147" s="38" t="s">
        <v>422</v>
      </c>
      <c r="D147" s="4" t="s">
        <v>599</v>
      </c>
      <c r="E147" t="s">
        <v>122</v>
      </c>
      <c r="F147" t="s">
        <v>223</v>
      </c>
      <c r="G147" s="4" t="s">
        <v>142</v>
      </c>
      <c r="H147" s="4" t="str">
        <f>VLOOKUP(A147,'Monthly EE List'!A:G,7,0)</f>
        <v>A</v>
      </c>
      <c r="J147" s="5"/>
      <c r="L147" s="4" t="str">
        <f t="shared" ca="1" si="2"/>
        <v/>
      </c>
      <c r="M147" s="6" t="str">
        <f>IF(VLOOKUP($C$4,Working!$A$23:$L$52,Working!$F$21,0)="Y",TEXT($C$6,"YYYYMM")&amp;"_"&amp;$E147&amp;"_"&amp;Working!$B$11&amp;Working!$B$12,"")</f>
        <v>201703_WZ167_Top15.xlsx</v>
      </c>
      <c r="N147" s="6" t="str">
        <f>IF(VLOOKUP($C$4,Working!$A$23:$L$52,Working!$I$21,0)="Y",TEXT($C$6,"YYYYMM")&amp;"_"&amp;$E147&amp;"_"&amp;Working!$B$13&amp;Working!$B$14,"")</f>
        <v/>
      </c>
      <c r="O147" s="4" t="s">
        <v>228</v>
      </c>
      <c r="P147" s="4" t="s">
        <v>228</v>
      </c>
      <c r="Q147" s="41"/>
      <c r="R147" s="41"/>
      <c r="S147" s="41"/>
      <c r="T147" s="41"/>
      <c r="U147" s="41" t="s">
        <v>228</v>
      </c>
      <c r="V147" s="54"/>
      <c r="AS147"/>
    </row>
    <row r="148" spans="1:45" x14ac:dyDescent="0.3">
      <c r="A148">
        <v>3064</v>
      </c>
      <c r="B148" s="37" t="str">
        <f>VLOOKUP(A148,'Monthly EE List'!A:D,4,0)&amp;" "&amp;VLOOKUP(A148,'Monthly EE List'!A:D,3,0)</f>
        <v>TWYLA RONYK</v>
      </c>
      <c r="C148" s="38" t="s">
        <v>423</v>
      </c>
      <c r="D148" s="4" t="s">
        <v>599</v>
      </c>
      <c r="E148" t="s">
        <v>123</v>
      </c>
      <c r="F148" t="s">
        <v>224</v>
      </c>
      <c r="G148" s="4" t="s">
        <v>142</v>
      </c>
      <c r="H148" s="4" t="str">
        <f>VLOOKUP(A148,'Monthly EE List'!A:G,7,0)</f>
        <v>A</v>
      </c>
      <c r="J148" s="5"/>
      <c r="L148" s="4" t="str">
        <f t="shared" ca="1" si="2"/>
        <v/>
      </c>
      <c r="M148" s="6" t="str">
        <f>IF(VLOOKUP($C$4,Working!$A$23:$L$52,Working!$F$21,0)="Y",TEXT($C$6,"YYYYMM")&amp;"_"&amp;$E148&amp;"_"&amp;Working!$B$11&amp;Working!$B$12,"")</f>
        <v>201703_WZ175_Top15.xlsx</v>
      </c>
      <c r="N148" s="6" t="str">
        <f>IF(VLOOKUP($C$4,Working!$A$23:$L$52,Working!$I$21,0)="Y",TEXT($C$6,"YYYYMM")&amp;"_"&amp;$E148&amp;"_"&amp;Working!$B$13&amp;Working!$B$14,"")</f>
        <v/>
      </c>
      <c r="O148" s="4" t="s">
        <v>228</v>
      </c>
      <c r="P148" s="4" t="s">
        <v>228</v>
      </c>
      <c r="Q148" s="41"/>
      <c r="R148" s="41"/>
      <c r="S148" s="41"/>
      <c r="T148" s="41"/>
      <c r="U148" s="41" t="s">
        <v>228</v>
      </c>
      <c r="V148" s="54"/>
      <c r="AS148"/>
    </row>
    <row r="149" spans="1:45" x14ac:dyDescent="0.3">
      <c r="A149">
        <v>3065</v>
      </c>
      <c r="B149" s="37" t="str">
        <f>VLOOKUP(A149,'Monthly EE List'!A:D,4,0)&amp;" "&amp;VLOOKUP(A149,'Monthly EE List'!A:D,3,0)</f>
        <v>ERROL GUY MARTIN</v>
      </c>
      <c r="C149" s="38" t="s">
        <v>424</v>
      </c>
      <c r="D149" s="4" t="s">
        <v>599</v>
      </c>
      <c r="E149" t="s">
        <v>124</v>
      </c>
      <c r="F149" t="s">
        <v>225</v>
      </c>
      <c r="G149" s="4" t="s">
        <v>142</v>
      </c>
      <c r="H149" s="4" t="str">
        <f>VLOOKUP(A149,'Monthly EE List'!A:G,7,0)</f>
        <v>A</v>
      </c>
      <c r="J149" s="5"/>
      <c r="L149" s="4" t="str">
        <f t="shared" ca="1" si="2"/>
        <v/>
      </c>
      <c r="M149" s="6" t="str">
        <f>IF(VLOOKUP($C$4,Working!$A$23:$L$52,Working!$F$21,0)="Y",TEXT($C$6,"YYYYMM")&amp;"_"&amp;$E149&amp;"_"&amp;Working!$B$11&amp;Working!$B$12,"")</f>
        <v>201703_WZ177_Top15.xlsx</v>
      </c>
      <c r="N149" s="6" t="str">
        <f>IF(VLOOKUP($C$4,Working!$A$23:$L$52,Working!$I$21,0)="Y",TEXT($C$6,"YYYYMM")&amp;"_"&amp;$E149&amp;"_"&amp;Working!$B$13&amp;Working!$B$14,"")</f>
        <v/>
      </c>
      <c r="O149" s="4" t="s">
        <v>228</v>
      </c>
      <c r="P149" s="4" t="s">
        <v>228</v>
      </c>
      <c r="Q149" s="41"/>
      <c r="R149" s="41"/>
      <c r="S149" s="41"/>
      <c r="T149" s="41"/>
      <c r="U149" s="41" t="s">
        <v>228</v>
      </c>
      <c r="V149" s="4"/>
      <c r="AS149"/>
    </row>
    <row r="150" spans="1:45" x14ac:dyDescent="0.3">
      <c r="A150">
        <v>3067</v>
      </c>
      <c r="B150" s="37" t="str">
        <f>VLOOKUP(A150,'Monthly EE List'!A:D,4,0)&amp;" "&amp;VLOOKUP(A150,'Monthly EE List'!A:D,3,0)</f>
        <v>BRONKO KORNHAUZER</v>
      </c>
      <c r="C150" s="38" t="s">
        <v>425</v>
      </c>
      <c r="D150" s="4" t="s">
        <v>599</v>
      </c>
      <c r="E150" t="s">
        <v>125</v>
      </c>
      <c r="F150" t="s">
        <v>225</v>
      </c>
      <c r="G150" s="4" t="s">
        <v>142</v>
      </c>
      <c r="H150" s="4" t="str">
        <f>VLOOKUP(A150,'Monthly EE List'!A:G,7,0)</f>
        <v>A</v>
      </c>
      <c r="I150" t="s">
        <v>212</v>
      </c>
      <c r="J150" s="5">
        <v>40924</v>
      </c>
      <c r="K150" t="s">
        <v>2475</v>
      </c>
      <c r="L150" s="4" t="str">
        <f t="shared" ca="1" si="2"/>
        <v/>
      </c>
      <c r="M150" s="6" t="str">
        <f>IF(VLOOKUP($C$4,Working!$A$23:$L$52,Working!$F$21,0)="Y",TEXT($C$6,"YYYYMM")&amp;"_"&amp;$E150&amp;"_"&amp;Working!$B$11&amp;Working!$B$12,"")</f>
        <v>201703_WZ2BK_Top15.xlsx</v>
      </c>
      <c r="N150" s="6" t="str">
        <f>IF(VLOOKUP($C$4,Working!$A$23:$L$52,Working!$I$21,0)="Y",TEXT($C$6,"YYYYMM")&amp;"_"&amp;$E150&amp;"_"&amp;Working!$B$13&amp;Working!$B$14,"")</f>
        <v/>
      </c>
      <c r="O150" s="4" t="s">
        <v>228</v>
      </c>
      <c r="P150" s="4" t="s">
        <v>228</v>
      </c>
      <c r="Q150" s="41"/>
      <c r="R150" s="41"/>
      <c r="S150" s="41"/>
      <c r="T150" s="41"/>
      <c r="U150" s="41" t="s">
        <v>228</v>
      </c>
      <c r="V150" s="4"/>
      <c r="AS150"/>
    </row>
    <row r="151" spans="1:45" x14ac:dyDescent="0.3">
      <c r="A151">
        <v>3086</v>
      </c>
      <c r="B151" s="37" t="str">
        <f>VLOOKUP(A151,'Monthly EE List'!A:D,4,0)&amp;" "&amp;VLOOKUP(A151,'Monthly EE List'!A:D,3,0)</f>
        <v>BEVERLY FREDSBERG</v>
      </c>
      <c r="C151" s="38" t="s">
        <v>426</v>
      </c>
      <c r="D151" s="4" t="s">
        <v>599</v>
      </c>
      <c r="E151" t="s">
        <v>126</v>
      </c>
      <c r="F151" t="s">
        <v>225</v>
      </c>
      <c r="G151" s="4" t="s">
        <v>142</v>
      </c>
      <c r="H151" s="4" t="str">
        <f>VLOOKUP(A151,'Monthly EE List'!A:G,7,0)</f>
        <v>A</v>
      </c>
      <c r="J151" s="5"/>
      <c r="L151" s="4" t="str">
        <f t="shared" ca="1" si="2"/>
        <v/>
      </c>
      <c r="M151" s="6" t="str">
        <f>IF(VLOOKUP($C$4,Working!$A$23:$L$52,Working!$F$21,0)="Y",TEXT($C$6,"YYYYMM")&amp;"_"&amp;$E151&amp;"_"&amp;Working!$B$11&amp;Working!$B$12,"")</f>
        <v>201703_WZ143_Top15.xlsx</v>
      </c>
      <c r="N151" s="6" t="str">
        <f>IF(VLOOKUP($C$4,Working!$A$23:$L$52,Working!$I$21,0)="Y",TEXT($C$6,"YYYYMM")&amp;"_"&amp;$E151&amp;"_"&amp;Working!$B$13&amp;Working!$B$14,"")</f>
        <v/>
      </c>
      <c r="O151" s="4" t="s">
        <v>228</v>
      </c>
      <c r="P151" s="4" t="s">
        <v>228</v>
      </c>
      <c r="Q151" s="41"/>
      <c r="R151" s="41"/>
      <c r="S151" s="41"/>
      <c r="T151" s="41"/>
      <c r="U151" s="41" t="s">
        <v>228</v>
      </c>
      <c r="V151" s="4"/>
      <c r="AS151"/>
    </row>
    <row r="152" spans="1:45" x14ac:dyDescent="0.3">
      <c r="A152">
        <v>3086</v>
      </c>
      <c r="B152" s="37" t="str">
        <f>VLOOKUP(A152,'Monthly EE List'!A:D,4,0)&amp;" "&amp;VLOOKUP(A152,'Monthly EE List'!A:D,3,0)</f>
        <v>BEVERLY FREDSBERG</v>
      </c>
      <c r="C152" s="38" t="s">
        <v>426</v>
      </c>
      <c r="D152" s="4" t="s">
        <v>599</v>
      </c>
      <c r="E152" t="s">
        <v>3753</v>
      </c>
      <c r="F152" t="s">
        <v>223</v>
      </c>
      <c r="G152" s="4" t="s">
        <v>142</v>
      </c>
      <c r="H152" s="4" t="str">
        <f>VLOOKUP(A152,'Monthly EE List'!A:G,7,0)</f>
        <v>A</v>
      </c>
      <c r="I152" t="s">
        <v>211</v>
      </c>
      <c r="J152" s="5">
        <v>42606</v>
      </c>
      <c r="K152" t="s">
        <v>3752</v>
      </c>
      <c r="L152" s="4" t="str">
        <f t="shared" ca="1" si="2"/>
        <v/>
      </c>
      <c r="M152" s="6" t="str">
        <f>IF(VLOOKUP($C$4,Working!$A$23:$L$52,Working!$F$21,0)="Y",TEXT($C$6,"YYYYMM")&amp;"_"&amp;$E152&amp;"_"&amp;Working!$B$11&amp;Working!$B$12,"")</f>
        <v>201703_WZ243_Top15.xlsx</v>
      </c>
      <c r="N152" s="6" t="str">
        <f>IF(VLOOKUP($C$4,Working!$A$23:$L$52,Working!$I$21,0)="Y",TEXT($C$6,"YYYYMM")&amp;"_"&amp;$E152&amp;"_"&amp;Working!$B$13&amp;Working!$B$14,"")</f>
        <v/>
      </c>
      <c r="O152" s="4" t="s">
        <v>228</v>
      </c>
      <c r="P152" s="54"/>
      <c r="Q152" s="41"/>
      <c r="R152" s="41"/>
      <c r="S152" s="41"/>
      <c r="T152" s="41"/>
      <c r="U152" s="65"/>
      <c r="V152" s="4"/>
      <c r="AS152"/>
    </row>
    <row r="153" spans="1:45" x14ac:dyDescent="0.3">
      <c r="A153">
        <v>3124</v>
      </c>
      <c r="B153" s="37" t="str">
        <f>VLOOKUP(A153,'Monthly EE List'!A:D,4,0)&amp;" "&amp;VLOOKUP(A153,'Monthly EE List'!A:D,3,0)</f>
        <v>KATHY ANDERSON</v>
      </c>
      <c r="C153" s="38" t="s">
        <v>427</v>
      </c>
      <c r="D153" s="4" t="s">
        <v>599</v>
      </c>
      <c r="E153" t="s">
        <v>127</v>
      </c>
      <c r="F153" t="s">
        <v>226</v>
      </c>
      <c r="G153" s="4" t="s">
        <v>142</v>
      </c>
      <c r="H153" s="4" t="str">
        <f>VLOOKUP(A153,'Monthly EE List'!A:G,7,0)</f>
        <v>A</v>
      </c>
      <c r="J153" s="5"/>
      <c r="L153" s="4" t="str">
        <f t="shared" ca="1" si="2"/>
        <v/>
      </c>
      <c r="M153" s="6" t="str">
        <f>IF(VLOOKUP($C$4,Working!$A$23:$L$52,Working!$F$21,0)="Y",TEXT($C$6,"YYYYMM")&amp;"_"&amp;$E153&amp;"_"&amp;Working!$B$11&amp;Working!$B$12,"")</f>
        <v>201703_WZ159_Top15.xlsx</v>
      </c>
      <c r="N153" s="6" t="str">
        <f>IF(VLOOKUP($C$4,Working!$A$23:$L$52,Working!$I$21,0)="Y",TEXT($C$6,"YYYYMM")&amp;"_"&amp;$E153&amp;"_"&amp;Working!$B$13&amp;Working!$B$14,"")</f>
        <v/>
      </c>
      <c r="O153" s="4" t="s">
        <v>228</v>
      </c>
      <c r="P153" s="4" t="s">
        <v>228</v>
      </c>
      <c r="Q153" s="41"/>
      <c r="R153" s="41"/>
      <c r="S153" s="41"/>
      <c r="T153" s="41"/>
      <c r="U153" s="41" t="s">
        <v>228</v>
      </c>
      <c r="V153" s="54"/>
      <c r="AS153"/>
    </row>
    <row r="154" spans="1:45" x14ac:dyDescent="0.3">
      <c r="A154">
        <v>3127</v>
      </c>
      <c r="B154" s="37" t="str">
        <f>VLOOKUP(A154,'Monthly EE List'!A:D,4,0)&amp;" "&amp;VLOOKUP(A154,'Monthly EE List'!A:D,3,0)</f>
        <v>STEVEN HENRY</v>
      </c>
      <c r="C154" s="38" t="s">
        <v>428</v>
      </c>
      <c r="D154" s="4" t="s">
        <v>599</v>
      </c>
      <c r="E154" t="s">
        <v>128</v>
      </c>
      <c r="F154" t="s">
        <v>222</v>
      </c>
      <c r="G154" s="4" t="s">
        <v>142</v>
      </c>
      <c r="H154" s="4" t="str">
        <f>VLOOKUP(A154,'Monthly EE List'!A:G,7,0)</f>
        <v>A</v>
      </c>
      <c r="J154" s="5"/>
      <c r="L154" s="4" t="str">
        <f t="shared" ca="1" si="2"/>
        <v/>
      </c>
      <c r="M154" s="6" t="str">
        <f>IF(VLOOKUP($C$4,Working!$A$23:$L$52,Working!$F$21,0)="Y",TEXT($C$6,"YYYYMM")&amp;"_"&amp;$E154&amp;"_"&amp;Working!$B$11&amp;Working!$B$12,"")</f>
        <v>201703_WZ162_Top15.xlsx</v>
      </c>
      <c r="N154" s="6" t="str">
        <f>IF(VLOOKUP($C$4,Working!$A$23:$L$52,Working!$I$21,0)="Y",TEXT($C$6,"YYYYMM")&amp;"_"&amp;$E154&amp;"_"&amp;Working!$B$13&amp;Working!$B$14,"")</f>
        <v/>
      </c>
      <c r="O154" s="4" t="s">
        <v>228</v>
      </c>
      <c r="P154" s="4" t="s">
        <v>228</v>
      </c>
      <c r="Q154" s="41"/>
      <c r="R154" s="41"/>
      <c r="S154" s="41"/>
      <c r="T154" s="41"/>
      <c r="U154" s="41" t="s">
        <v>228</v>
      </c>
      <c r="V154" s="54"/>
      <c r="AS154"/>
    </row>
    <row r="155" spans="1:45" x14ac:dyDescent="0.3">
      <c r="A155">
        <v>3128</v>
      </c>
      <c r="B155" s="37" t="str">
        <f>VLOOKUP(A155,'Monthly EE List'!A:D,4,0)&amp;" "&amp;VLOOKUP(A155,'Monthly EE List'!A:D,3,0)</f>
        <v>RICK KATHRENS</v>
      </c>
      <c r="C155" s="38" t="s">
        <v>314</v>
      </c>
      <c r="D155" s="4" t="s">
        <v>599</v>
      </c>
      <c r="E155">
        <v>40308</v>
      </c>
      <c r="F155" t="s">
        <v>223</v>
      </c>
      <c r="G155" s="4" t="s">
        <v>244</v>
      </c>
      <c r="H155" s="4" t="str">
        <f>VLOOKUP(A155,'Monthly EE List'!A:G,7,0)</f>
        <v>A</v>
      </c>
      <c r="I155" t="s">
        <v>212</v>
      </c>
      <c r="J155" s="5">
        <v>41669</v>
      </c>
      <c r="K155" t="s">
        <v>571</v>
      </c>
      <c r="L155" s="4" t="str">
        <f t="shared" ca="1" si="2"/>
        <v/>
      </c>
      <c r="M155" s="6" t="str">
        <f>IF(VLOOKUP($C$4,Working!$A$23:$L$52,Working!$F$21,0)="Y",TEXT($C$6,"YYYYMM")&amp;"_"&amp;$E155&amp;"_"&amp;Working!$B$11&amp;Working!$B$12,"")</f>
        <v>201703_40308_Top15.xlsx</v>
      </c>
      <c r="N155" s="6" t="str">
        <f>IF(VLOOKUP($C$4,Working!$A$23:$L$52,Working!$I$21,0)="Y",TEXT($C$6,"YYYYMM")&amp;"_"&amp;$E155&amp;"_"&amp;Working!$B$13&amp;Working!$B$14,"")</f>
        <v/>
      </c>
      <c r="O155" s="4"/>
      <c r="P155" s="4"/>
      <c r="Q155" s="41"/>
      <c r="R155" s="41"/>
      <c r="S155" s="41"/>
      <c r="T155" s="41"/>
      <c r="U155" s="41"/>
      <c r="V155" s="4"/>
      <c r="AS155"/>
    </row>
    <row r="156" spans="1:45" x14ac:dyDescent="0.3">
      <c r="A156">
        <v>3132</v>
      </c>
      <c r="B156" s="37" t="str">
        <f>VLOOKUP(A156,'Monthly EE List'!A:D,4,0)&amp;" "&amp;VLOOKUP(A156,'Monthly EE List'!A:D,3,0)</f>
        <v>JOSEPH GARD</v>
      </c>
      <c r="C156" s="38" t="s">
        <v>429</v>
      </c>
      <c r="D156" s="4" t="s">
        <v>599</v>
      </c>
      <c r="E156" t="s">
        <v>129</v>
      </c>
      <c r="F156" t="s">
        <v>226</v>
      </c>
      <c r="G156" s="4" t="s">
        <v>142</v>
      </c>
      <c r="H156" s="4" t="str">
        <f>VLOOKUP(A156,'Monthly EE List'!A:G,7,0)</f>
        <v>A</v>
      </c>
      <c r="I156" t="s">
        <v>212</v>
      </c>
      <c r="J156" s="5">
        <v>42703</v>
      </c>
      <c r="K156" s="66" t="s">
        <v>3819</v>
      </c>
      <c r="L156" s="4" t="str">
        <f t="shared" ca="1" si="2"/>
        <v/>
      </c>
      <c r="M156" s="6" t="str">
        <f>IF(VLOOKUP($C$4,Working!$A$23:$L$52,Working!$F$21,0)="Y",TEXT($C$6,"YYYYMM")&amp;"_"&amp;$E156&amp;"_"&amp;Working!$B$11&amp;Working!$B$12,"")</f>
        <v>201703_WZ125_Top15.xlsx</v>
      </c>
      <c r="N156" s="6" t="str">
        <f>IF(VLOOKUP($C$4,Working!$A$23:$L$52,Working!$I$21,0)="Y",TEXT($C$6,"YYYYMM")&amp;"_"&amp;$E156&amp;"_"&amp;Working!$B$13&amp;Working!$B$14,"")</f>
        <v/>
      </c>
      <c r="O156" s="54"/>
      <c r="P156" s="54"/>
      <c r="Q156" s="41"/>
      <c r="R156" s="41"/>
      <c r="S156" s="41"/>
      <c r="T156" s="41"/>
      <c r="U156" s="54"/>
      <c r="V156" s="54"/>
      <c r="AS156"/>
    </row>
    <row r="157" spans="1:45" x14ac:dyDescent="0.3">
      <c r="A157">
        <v>3134</v>
      </c>
      <c r="B157" s="37" t="str">
        <f>VLOOKUP(A157,'Monthly EE List'!A:D,4,0)&amp;" "&amp;VLOOKUP(A157,'Monthly EE List'!A:D,3,0)</f>
        <v>MIKE THOMSON</v>
      </c>
      <c r="C157" s="38" t="s">
        <v>305</v>
      </c>
      <c r="D157" s="4" t="s">
        <v>599</v>
      </c>
      <c r="E157">
        <v>25006</v>
      </c>
      <c r="F157" t="s">
        <v>226</v>
      </c>
      <c r="G157" s="4" t="s">
        <v>244</v>
      </c>
      <c r="H157" s="4" t="str">
        <f>VLOOKUP(A157,'Monthly EE List'!A:G,7,0)</f>
        <v>A</v>
      </c>
      <c r="J157" s="5"/>
      <c r="L157" s="4" t="str">
        <f t="shared" ca="1" si="2"/>
        <v/>
      </c>
      <c r="M157" s="6" t="str">
        <f>IF(VLOOKUP($C$4,Working!$A$23:$L$52,Working!$F$21,0)="Y",TEXT($C$6,"YYYYMM")&amp;"_"&amp;$E157&amp;"_"&amp;Working!$B$11&amp;Working!$B$12,"")</f>
        <v>201703_25006_Top15.xlsx</v>
      </c>
      <c r="N157" s="6" t="str">
        <f>IF(VLOOKUP($C$4,Working!$A$23:$L$52,Working!$I$21,0)="Y",TEXT($C$6,"YYYYMM")&amp;"_"&amp;$E157&amp;"_"&amp;Working!$B$13&amp;Working!$B$14,"")</f>
        <v/>
      </c>
      <c r="O157" s="4"/>
      <c r="P157" s="4"/>
      <c r="Q157" s="41" t="s">
        <v>228</v>
      </c>
      <c r="R157" s="41"/>
      <c r="S157" s="41"/>
      <c r="T157" s="41"/>
      <c r="U157" s="41"/>
      <c r="V157" s="4"/>
      <c r="AS157"/>
    </row>
    <row r="158" spans="1:45" x14ac:dyDescent="0.3">
      <c r="A158">
        <v>3137</v>
      </c>
      <c r="B158" s="37" t="str">
        <f>VLOOKUP(A158,'Monthly EE List'!A:D,4,0)&amp;" "&amp;VLOOKUP(A158,'Monthly EE List'!A:D,3,0)</f>
        <v>ROBIN VOLK</v>
      </c>
      <c r="C158" s="38" t="s">
        <v>430</v>
      </c>
      <c r="D158" s="4" t="s">
        <v>599</v>
      </c>
      <c r="E158" t="s">
        <v>130</v>
      </c>
      <c r="F158" t="s">
        <v>226</v>
      </c>
      <c r="G158" s="4" t="s">
        <v>142</v>
      </c>
      <c r="H158" s="4" t="str">
        <f>VLOOKUP(A158,'Monthly EE List'!A:G,7,0)</f>
        <v>A</v>
      </c>
      <c r="J158" s="5"/>
      <c r="L158" s="4" t="str">
        <f t="shared" ca="1" si="2"/>
        <v/>
      </c>
      <c r="M158" s="6" t="str">
        <f>IF(VLOOKUP($C$4,Working!$A$23:$L$52,Working!$F$21,0)="Y",TEXT($C$6,"YYYYMM")&amp;"_"&amp;$E158&amp;"_"&amp;Working!$B$11&amp;Working!$B$12,"")</f>
        <v>201703_WZ113_Top15.xlsx</v>
      </c>
      <c r="N158" s="6" t="str">
        <f>IF(VLOOKUP($C$4,Working!$A$23:$L$52,Working!$I$21,0)="Y",TEXT($C$6,"YYYYMM")&amp;"_"&amp;$E158&amp;"_"&amp;Working!$B$13&amp;Working!$B$14,"")</f>
        <v/>
      </c>
      <c r="O158" s="4" t="s">
        <v>228</v>
      </c>
      <c r="P158" s="4" t="s">
        <v>228</v>
      </c>
      <c r="Q158" s="41"/>
      <c r="R158" s="41"/>
      <c r="S158" s="41"/>
      <c r="T158" s="41"/>
      <c r="U158" s="41" t="s">
        <v>228</v>
      </c>
      <c r="V158" s="54"/>
      <c r="AS158"/>
    </row>
    <row r="159" spans="1:45" x14ac:dyDescent="0.3">
      <c r="A159">
        <v>3141</v>
      </c>
      <c r="B159" s="37" t="str">
        <f>VLOOKUP(A159,'Monthly EE List'!A:D,4,0)&amp;" "&amp;VLOOKUP(A159,'Monthly EE List'!A:D,3,0)</f>
        <v>RICHARD WEST</v>
      </c>
      <c r="C159" s="38" t="s">
        <v>313</v>
      </c>
      <c r="D159" s="4" t="s">
        <v>599</v>
      </c>
      <c r="E159">
        <v>78005</v>
      </c>
      <c r="F159" t="s">
        <v>225</v>
      </c>
      <c r="G159" s="4" t="s">
        <v>244</v>
      </c>
      <c r="H159" s="4" t="str">
        <f>VLOOKUP(A159,'Monthly EE List'!A:G,7,0)</f>
        <v>A</v>
      </c>
      <c r="I159" t="s">
        <v>212</v>
      </c>
      <c r="J159" s="5">
        <v>41136</v>
      </c>
      <c r="K159" t="s">
        <v>2664</v>
      </c>
      <c r="L159" s="4" t="str">
        <f t="shared" ca="1" si="2"/>
        <v/>
      </c>
      <c r="M159" s="6" t="str">
        <f>IF(VLOOKUP($C$4,Working!$A$23:$L$52,Working!$F$21,0)="Y",TEXT($C$6,"YYYYMM")&amp;"_"&amp;$E159&amp;"_"&amp;Working!$B$11&amp;Working!$B$12,"")</f>
        <v>201703_78005_Top15.xlsx</v>
      </c>
      <c r="N159" s="6" t="str">
        <f>IF(VLOOKUP($C$4,Working!$A$23:$L$52,Working!$I$21,0)="Y",TEXT($C$6,"YYYYMM")&amp;"_"&amp;$E159&amp;"_"&amp;Working!$B$13&amp;Working!$B$14,"")</f>
        <v/>
      </c>
      <c r="O159" s="4"/>
      <c r="P159" s="4"/>
      <c r="Q159" s="41" t="s">
        <v>228</v>
      </c>
      <c r="R159" s="41"/>
      <c r="S159" s="41"/>
      <c r="T159" s="41"/>
      <c r="U159" s="41"/>
      <c r="V159" s="4"/>
      <c r="AS159"/>
    </row>
    <row r="160" spans="1:45" x14ac:dyDescent="0.3">
      <c r="A160" s="44">
        <v>3142</v>
      </c>
      <c r="B160" s="37" t="str">
        <f>VLOOKUP(A160,'Monthly EE List'!A:D,4,0)&amp;" "&amp;VLOOKUP(A160,'Monthly EE List'!A:D,3,0)</f>
        <v>DEAN POLLARD</v>
      </c>
      <c r="C160" s="38" t="s">
        <v>431</v>
      </c>
      <c r="D160" s="4" t="s">
        <v>599</v>
      </c>
      <c r="E160" t="s">
        <v>225</v>
      </c>
      <c r="F160" t="s">
        <v>225</v>
      </c>
      <c r="G160" s="4" t="s">
        <v>3007</v>
      </c>
      <c r="H160" s="4" t="str">
        <f>VLOOKUP(A160,'Monthly EE List'!A:G,7,0)</f>
        <v>A</v>
      </c>
      <c r="I160" t="s">
        <v>211</v>
      </c>
      <c r="J160" s="5">
        <v>41191</v>
      </c>
      <c r="K160" t="s">
        <v>2716</v>
      </c>
      <c r="L160" s="4" t="str">
        <f t="shared" ca="1" si="2"/>
        <v>X</v>
      </c>
      <c r="M160" s="6" t="str">
        <f>IF(VLOOKUP($C$4,Working!$A$23:$L$52,Working!$F$21,0)="Y",TEXT($C$6,"YYYYMM")&amp;"_"&amp;$E160&amp;"_"&amp;Working!$B$11&amp;Working!$B$12,"")</f>
        <v>201703_EDMON_Top15.xlsx</v>
      </c>
      <c r="N160" s="6" t="str">
        <f>IF(VLOOKUP($C$4,Working!$A$23:$L$52,Working!$I$21,0)="Y",TEXT($C$6,"YYYYMM")&amp;"_"&amp;$E160&amp;"_"&amp;Working!$B$13&amp;Working!$B$14,"")</f>
        <v/>
      </c>
      <c r="O160" s="62"/>
      <c r="P160" s="59"/>
      <c r="Q160" s="41"/>
      <c r="R160" s="41"/>
      <c r="S160" s="41"/>
      <c r="T160" s="41"/>
      <c r="U160" s="54"/>
      <c r="V160" s="54"/>
      <c r="W160" s="4" t="s">
        <v>228</v>
      </c>
      <c r="AS160"/>
    </row>
    <row r="161" spans="1:45" x14ac:dyDescent="0.3">
      <c r="A161">
        <v>3142</v>
      </c>
      <c r="B161" s="37" t="str">
        <f>VLOOKUP(A161,'Monthly EE List'!A:D,4,0)&amp;" "&amp;VLOOKUP(A161,'Monthly EE List'!A:D,3,0)</f>
        <v>DEAN POLLARD</v>
      </c>
      <c r="C161" s="38" t="s">
        <v>431</v>
      </c>
      <c r="D161" s="4" t="s">
        <v>599</v>
      </c>
      <c r="E161" t="s">
        <v>131</v>
      </c>
      <c r="F161" t="s">
        <v>225</v>
      </c>
      <c r="G161" s="4" t="s">
        <v>3007</v>
      </c>
      <c r="H161" s="4" t="str">
        <f>VLOOKUP(A161,'Monthly EE List'!A:G,7,0)</f>
        <v>A</v>
      </c>
      <c r="I161" t="s">
        <v>212</v>
      </c>
      <c r="J161" s="5">
        <v>41806</v>
      </c>
      <c r="K161" t="s">
        <v>2664</v>
      </c>
      <c r="L161" s="4" t="str">
        <f t="shared" ca="1" si="2"/>
        <v/>
      </c>
      <c r="M161" s="6" t="str">
        <f>IF(VLOOKUP($C$4,Working!$A$23:$L$52,Working!$F$21,0)="Y",TEXT($C$6,"YYYYMM")&amp;"_"&amp;$E161&amp;"_"&amp;Working!$B$11&amp;Working!$B$12,"")</f>
        <v>201703_WZ133_Top15.xlsx</v>
      </c>
      <c r="N161" s="6" t="str">
        <f>IF(VLOOKUP($C$4,Working!$A$23:$L$52,Working!$I$21,0)="Y",TEXT($C$6,"YYYYMM")&amp;"_"&amp;$E161&amp;"_"&amp;Working!$B$13&amp;Working!$B$14,"")</f>
        <v/>
      </c>
      <c r="O161" s="4" t="s">
        <v>228</v>
      </c>
      <c r="P161" s="54"/>
      <c r="Q161" s="41"/>
      <c r="R161" s="41"/>
      <c r="S161" s="41"/>
      <c r="T161" s="41"/>
      <c r="U161" s="41" t="s">
        <v>228</v>
      </c>
      <c r="V161" s="4"/>
      <c r="AS161"/>
    </row>
    <row r="162" spans="1:45" x14ac:dyDescent="0.3">
      <c r="A162">
        <v>3143</v>
      </c>
      <c r="B162" s="37" t="str">
        <f>VLOOKUP(A162,'Monthly EE List'!A:D,4,0)&amp;" "&amp;VLOOKUP(A162,'Monthly EE List'!A:D,3,0)</f>
        <v>DONNA GOERGEN</v>
      </c>
      <c r="C162" s="38" t="s">
        <v>432</v>
      </c>
      <c r="D162" s="4" t="s">
        <v>599</v>
      </c>
      <c r="E162" t="s">
        <v>132</v>
      </c>
      <c r="F162" t="s">
        <v>225</v>
      </c>
      <c r="G162" s="4" t="s">
        <v>142</v>
      </c>
      <c r="H162" s="4" t="str">
        <f>VLOOKUP(A162,'Monthly EE List'!A:G,7,0)</f>
        <v>A</v>
      </c>
      <c r="J162" s="5"/>
      <c r="L162" s="4" t="str">
        <f t="shared" ca="1" si="2"/>
        <v/>
      </c>
      <c r="M162" s="6" t="str">
        <f>IF(VLOOKUP($C$4,Working!$A$23:$L$52,Working!$F$21,0)="Y",TEXT($C$6,"YYYYMM")&amp;"_"&amp;$E162&amp;"_"&amp;Working!$B$11&amp;Working!$B$12,"")</f>
        <v>201703_WZ137_Top15.xlsx</v>
      </c>
      <c r="N162" s="6" t="str">
        <f>IF(VLOOKUP($C$4,Working!$A$23:$L$52,Working!$I$21,0)="Y",TEXT($C$6,"YYYYMM")&amp;"_"&amp;$E162&amp;"_"&amp;Working!$B$13&amp;Working!$B$14,"")</f>
        <v/>
      </c>
      <c r="O162" s="4" t="s">
        <v>228</v>
      </c>
      <c r="P162" s="4" t="s">
        <v>228</v>
      </c>
      <c r="Q162" s="41"/>
      <c r="R162" s="41"/>
      <c r="S162" s="41"/>
      <c r="T162" s="41"/>
      <c r="U162" s="41" t="s">
        <v>228</v>
      </c>
      <c r="V162" s="4"/>
      <c r="AS162"/>
    </row>
    <row r="163" spans="1:45" x14ac:dyDescent="0.3">
      <c r="A163">
        <v>3143</v>
      </c>
      <c r="B163" s="37" t="str">
        <f>VLOOKUP(A163,'Monthly EE List'!A:D,4,0)&amp;" "&amp;VLOOKUP(A163,'Monthly EE List'!A:D,3,0)</f>
        <v>DONNA GOERGEN</v>
      </c>
      <c r="C163" s="38" t="s">
        <v>432</v>
      </c>
      <c r="D163" s="4" t="s">
        <v>599</v>
      </c>
      <c r="E163" t="s">
        <v>3863</v>
      </c>
      <c r="F163" t="s">
        <v>223</v>
      </c>
      <c r="G163" s="4" t="s">
        <v>142</v>
      </c>
      <c r="H163" s="4" t="str">
        <f>VLOOKUP(A163,'Monthly EE List'!A:G,7,0)</f>
        <v>A</v>
      </c>
      <c r="I163" t="s">
        <v>211</v>
      </c>
      <c r="J163" s="5">
        <v>42814</v>
      </c>
      <c r="K163" t="s">
        <v>3861</v>
      </c>
      <c r="L163" s="4" t="str">
        <f t="shared" ref="L163" ca="1" si="3">IF(OFFSET(N163,,$C$4)="X","X","")</f>
        <v/>
      </c>
      <c r="M163" s="6" t="str">
        <f>IF(VLOOKUP($C$4,Working!$A$23:$L$52,Working!$F$21,0)="Y",TEXT($C$6,"YYYYMM")&amp;"_"&amp;$E163&amp;"_"&amp;Working!$B$11&amp;Working!$B$12,"")</f>
        <v>201703_WZ237_Top15.xlsx</v>
      </c>
      <c r="N163" s="6" t="str">
        <f>IF(VLOOKUP($C$4,Working!$A$23:$L$52,Working!$I$21,0)="Y",TEXT($C$6,"YYYYMM")&amp;"_"&amp;$E163&amp;"_"&amp;Working!$B$13&amp;Working!$B$14,"")</f>
        <v/>
      </c>
      <c r="O163" s="4" t="s">
        <v>228</v>
      </c>
      <c r="P163" s="4"/>
      <c r="Q163" s="41"/>
      <c r="R163" s="41"/>
      <c r="S163" s="41"/>
      <c r="T163" s="41"/>
      <c r="U163" s="41" t="s">
        <v>228</v>
      </c>
      <c r="V163" s="4"/>
      <c r="AS163"/>
    </row>
    <row r="164" spans="1:45" x14ac:dyDescent="0.3">
      <c r="A164">
        <v>3144</v>
      </c>
      <c r="B164" s="37" t="str">
        <f>VLOOKUP(A164,'Monthly EE List'!A:D,4,0)&amp;" "&amp;VLOOKUP(A164,'Monthly EE List'!A:D,3,0)</f>
        <v>DOUGLAS HIRST</v>
      </c>
      <c r="C164" s="37" t="s">
        <v>271</v>
      </c>
      <c r="D164" s="4" t="s">
        <v>599</v>
      </c>
      <c r="E164">
        <v>78002</v>
      </c>
      <c r="F164" t="s">
        <v>225</v>
      </c>
      <c r="G164" s="4" t="s">
        <v>244</v>
      </c>
      <c r="H164" s="4" t="str">
        <f>VLOOKUP(A164,'Monthly EE List'!A:G,7,0)</f>
        <v>A</v>
      </c>
      <c r="I164" t="s">
        <v>211</v>
      </c>
      <c r="J164" s="5">
        <v>41731</v>
      </c>
      <c r="K164" t="s">
        <v>551</v>
      </c>
      <c r="L164" s="4" t="str">
        <f t="shared" ca="1" si="2"/>
        <v/>
      </c>
      <c r="M164" s="6" t="str">
        <f>IF(VLOOKUP($C$4,Working!$A$23:$L$52,Working!$F$21,0)="Y",TEXT($C$6,"YYYYMM")&amp;"_"&amp;$E164&amp;"_"&amp;Working!$B$11&amp;Working!$B$12,"")</f>
        <v>201703_78002_Top15.xlsx</v>
      </c>
      <c r="N164" s="6" t="str">
        <f>IF(VLOOKUP($C$4,Working!$A$23:$L$52,Working!$I$21,0)="Y",TEXT($C$6,"YYYYMM")&amp;"_"&amp;$E164&amp;"_"&amp;Working!$B$13&amp;Working!$B$14,"")</f>
        <v/>
      </c>
      <c r="O164" s="4"/>
      <c r="P164" s="4"/>
      <c r="Q164" s="41"/>
      <c r="R164" s="41"/>
      <c r="S164" s="41"/>
      <c r="T164" s="41"/>
      <c r="U164" s="41"/>
      <c r="V164" s="4"/>
      <c r="AS164"/>
    </row>
    <row r="165" spans="1:45" x14ac:dyDescent="0.3">
      <c r="A165">
        <v>3146</v>
      </c>
      <c r="B165" s="37" t="str">
        <f>VLOOKUP(A165,'Monthly EE List'!A:D,4,0)&amp;" "&amp;VLOOKUP(A165,'Monthly EE List'!A:D,3,0)</f>
        <v>TERRY HOLLMAN</v>
      </c>
      <c r="C165" s="38" t="s">
        <v>333</v>
      </c>
      <c r="D165" s="4" t="s">
        <v>599</v>
      </c>
      <c r="E165">
        <v>78004</v>
      </c>
      <c r="F165" t="s">
        <v>225</v>
      </c>
      <c r="G165" s="4" t="s">
        <v>244</v>
      </c>
      <c r="H165" s="4" t="str">
        <f>VLOOKUP(A165,'Monthly EE List'!A:G,7,0)</f>
        <v>A</v>
      </c>
      <c r="I165" t="s">
        <v>212</v>
      </c>
      <c r="J165" s="5">
        <v>41136</v>
      </c>
      <c r="K165" t="s">
        <v>2664</v>
      </c>
      <c r="L165" s="4" t="str">
        <f t="shared" ca="1" si="2"/>
        <v/>
      </c>
      <c r="M165" s="6" t="str">
        <f>IF(VLOOKUP($C$4,Working!$A$23:$L$52,Working!$F$21,0)="Y",TEXT($C$6,"YYYYMM")&amp;"_"&amp;$E165&amp;"_"&amp;Working!$B$11&amp;Working!$B$12,"")</f>
        <v>201703_78004_Top15.xlsx</v>
      </c>
      <c r="N165" s="6" t="str">
        <f>IF(VLOOKUP($C$4,Working!$A$23:$L$52,Working!$I$21,0)="Y",TEXT($C$6,"YYYYMM")&amp;"_"&amp;$E165&amp;"_"&amp;Working!$B$13&amp;Working!$B$14,"")</f>
        <v/>
      </c>
      <c r="O165" s="4"/>
      <c r="P165" s="4"/>
      <c r="Q165" s="41" t="s">
        <v>228</v>
      </c>
      <c r="R165" s="41"/>
      <c r="S165" s="41"/>
      <c r="T165" s="41"/>
      <c r="U165" s="41"/>
      <c r="V165" s="4"/>
      <c r="AS165"/>
    </row>
    <row r="166" spans="1:45" x14ac:dyDescent="0.3">
      <c r="A166">
        <v>3154</v>
      </c>
      <c r="B166" s="37" t="str">
        <f>VLOOKUP(A166,'Monthly EE List'!A:D,4,0)&amp;" "&amp;VLOOKUP(A166,'Monthly EE List'!A:D,3,0)</f>
        <v>WAYNE SAKOWSKY</v>
      </c>
      <c r="C166" s="38" t="s">
        <v>335</v>
      </c>
      <c r="D166" s="4" t="s">
        <v>599</v>
      </c>
      <c r="E166">
        <v>30604</v>
      </c>
      <c r="F166" t="s">
        <v>224</v>
      </c>
      <c r="G166" s="4" t="s">
        <v>244</v>
      </c>
      <c r="H166" s="4" t="str">
        <f>VLOOKUP(A166,'Monthly EE List'!A:G,7,0)</f>
        <v>A</v>
      </c>
      <c r="I166" t="s">
        <v>212</v>
      </c>
      <c r="J166" s="5">
        <v>41488</v>
      </c>
      <c r="K166" t="s">
        <v>571</v>
      </c>
      <c r="L166" s="4" t="str">
        <f t="shared" ca="1" si="2"/>
        <v/>
      </c>
      <c r="M166" s="6" t="str">
        <f>IF(VLOOKUP($C$4,Working!$A$23:$L$52,Working!$F$21,0)="Y",TEXT($C$6,"YYYYMM")&amp;"_"&amp;$E166&amp;"_"&amp;Working!$B$11&amp;Working!$B$12,"")</f>
        <v>201703_30604_Top15.xlsx</v>
      </c>
      <c r="N166" s="6" t="str">
        <f>IF(VLOOKUP($C$4,Working!$A$23:$L$52,Working!$I$21,0)="Y",TEXT($C$6,"YYYYMM")&amp;"_"&amp;$E166&amp;"_"&amp;Working!$B$13&amp;Working!$B$14,"")</f>
        <v/>
      </c>
      <c r="O166" s="4"/>
      <c r="P166" s="4"/>
      <c r="Q166" s="41" t="s">
        <v>228</v>
      </c>
      <c r="R166" s="41"/>
      <c r="S166" s="41"/>
      <c r="T166" s="41"/>
      <c r="U166" s="41"/>
      <c r="V166" s="4"/>
      <c r="AS166"/>
    </row>
    <row r="167" spans="1:45" x14ac:dyDescent="0.3">
      <c r="A167">
        <v>3156</v>
      </c>
      <c r="B167" s="37" t="str">
        <f>VLOOKUP(A167,'Monthly EE List'!A:D,4,0)&amp;" "&amp;VLOOKUP(A167,'Monthly EE List'!A:D,3,0)</f>
        <v>ANGIE FOLK</v>
      </c>
      <c r="C167" s="38" t="s">
        <v>433</v>
      </c>
      <c r="D167" s="4" t="s">
        <v>599</v>
      </c>
      <c r="E167" t="s">
        <v>133</v>
      </c>
      <c r="F167" t="s">
        <v>223</v>
      </c>
      <c r="G167" s="4" t="s">
        <v>142</v>
      </c>
      <c r="H167" s="4" t="str">
        <f>VLOOKUP(A167,'Monthly EE List'!A:G,7,0)</f>
        <v>A</v>
      </c>
      <c r="J167" s="5"/>
      <c r="L167" s="4" t="str">
        <f t="shared" ca="1" si="2"/>
        <v/>
      </c>
      <c r="M167" s="6" t="str">
        <f>IF(VLOOKUP($C$4,Working!$A$23:$L$52,Working!$F$21,0)="Y",TEXT($C$6,"YYYYMM")&amp;"_"&amp;$E167&amp;"_"&amp;Working!$B$11&amp;Working!$B$12,"")</f>
        <v>201703_WZ1G4_Top15.xlsx</v>
      </c>
      <c r="N167" s="6" t="str">
        <f>IF(VLOOKUP($C$4,Working!$A$23:$L$52,Working!$I$21,0)="Y",TEXT($C$6,"YYYYMM")&amp;"_"&amp;$E167&amp;"_"&amp;Working!$B$13&amp;Working!$B$14,"")</f>
        <v/>
      </c>
      <c r="O167" s="4" t="s">
        <v>228</v>
      </c>
      <c r="P167" s="4" t="s">
        <v>228</v>
      </c>
      <c r="Q167" s="41"/>
      <c r="R167" s="41"/>
      <c r="S167" s="41"/>
      <c r="T167" s="41"/>
      <c r="U167" s="4" t="s">
        <v>228</v>
      </c>
      <c r="V167" s="54"/>
      <c r="AS167"/>
    </row>
    <row r="168" spans="1:45" x14ac:dyDescent="0.3">
      <c r="A168">
        <v>3156</v>
      </c>
      <c r="B168" s="37" t="str">
        <f>VLOOKUP(A168,'Monthly EE List'!A:D,4,0)&amp;" "&amp;VLOOKUP(A168,'Monthly EE List'!A:D,3,0)</f>
        <v>ANGIE FOLK</v>
      </c>
      <c r="C168" s="38" t="s">
        <v>433</v>
      </c>
      <c r="D168" s="4" t="s">
        <v>599</v>
      </c>
      <c r="E168" t="s">
        <v>3629</v>
      </c>
      <c r="F168" t="s">
        <v>214</v>
      </c>
      <c r="G168" s="4" t="s">
        <v>142</v>
      </c>
      <c r="H168" s="4" t="str">
        <f>VLOOKUP(A168,'Monthly EE List'!A:G,7,0)</f>
        <v>A</v>
      </c>
      <c r="I168" t="s">
        <v>211</v>
      </c>
      <c r="J168" s="5">
        <v>42405</v>
      </c>
      <c r="K168" t="s">
        <v>3630</v>
      </c>
      <c r="L168" s="4" t="str">
        <f t="shared" ca="1" si="2"/>
        <v/>
      </c>
      <c r="M168" s="6" t="str">
        <f>IF(VLOOKUP($C$4,Working!$A$23:$L$52,Working!$F$21,0)="Y",TEXT($C$6,"YYYYMM")&amp;"_"&amp;$E168&amp;"_"&amp;Working!$B$11&amp;Working!$B$12,"")</f>
        <v>201703_WZ1G5_Top15.xlsx</v>
      </c>
      <c r="N168" s="6" t="str">
        <f>IF(VLOOKUP($C$4,Working!$A$23:$L$52,Working!$I$21,0)="Y",TEXT($C$6,"YYYYMM")&amp;"_"&amp;$E168&amp;"_"&amp;Working!$B$13&amp;Working!$B$14,"")</f>
        <v/>
      </c>
      <c r="O168" s="4" t="s">
        <v>228</v>
      </c>
      <c r="P168" s="54"/>
      <c r="Q168" s="41"/>
      <c r="R168" s="41"/>
      <c r="S168" s="41"/>
      <c r="T168" s="41"/>
      <c r="U168" s="55"/>
      <c r="V168" s="54"/>
      <c r="AS168"/>
    </row>
    <row r="169" spans="1:45" x14ac:dyDescent="0.3">
      <c r="A169">
        <v>3157</v>
      </c>
      <c r="B169" s="37" t="str">
        <f>VLOOKUP(A169,'Monthly EE List'!A:D,4,0)&amp;" "&amp;VLOOKUP(A169,'Monthly EE List'!A:D,3,0)</f>
        <v>DANIEL VALENZUELA</v>
      </c>
      <c r="C169" s="38" t="s">
        <v>3110</v>
      </c>
      <c r="D169" s="4" t="s">
        <v>599</v>
      </c>
      <c r="E169" t="s">
        <v>3084</v>
      </c>
      <c r="F169" t="s">
        <v>222</v>
      </c>
      <c r="G169" s="4" t="s">
        <v>142</v>
      </c>
      <c r="H169" s="4" t="str">
        <f>VLOOKUP(A169,'Monthly EE List'!A:G,7,0)</f>
        <v>A</v>
      </c>
      <c r="I169" t="s">
        <v>211</v>
      </c>
      <c r="J169" s="5">
        <v>41675</v>
      </c>
      <c r="K169" t="s">
        <v>147</v>
      </c>
      <c r="L169" s="4" t="str">
        <f t="shared" ca="1" si="2"/>
        <v/>
      </c>
      <c r="M169" s="6" t="str">
        <f>IF(VLOOKUP($C$4,Working!$A$23:$L$52,Working!$F$21,0)="Y",TEXT($C$6,"YYYYMM")&amp;"_"&amp;$E169&amp;"_"&amp;Working!$B$11&amp;Working!$B$12,"")</f>
        <v>201703_WZ1CE_Top15.xlsx</v>
      </c>
      <c r="N169" s="6" t="str">
        <f>IF(VLOOKUP($C$4,Working!$A$23:$L$52,Working!$I$21,0)="Y",TEXT($C$6,"YYYYMM")&amp;"_"&amp;$E169&amp;"_"&amp;Working!$B$13&amp;Working!$B$14,"")</f>
        <v/>
      </c>
      <c r="O169" s="4" t="s">
        <v>228</v>
      </c>
      <c r="P169" s="4" t="s">
        <v>228</v>
      </c>
      <c r="Q169" s="41"/>
      <c r="R169" s="41"/>
      <c r="S169" s="41"/>
      <c r="T169" s="41"/>
      <c r="U169" s="41" t="s">
        <v>3009</v>
      </c>
      <c r="V169" s="54"/>
      <c r="AS169"/>
    </row>
    <row r="170" spans="1:45" x14ac:dyDescent="0.3">
      <c r="A170">
        <v>3158</v>
      </c>
      <c r="B170" s="37" t="str">
        <f>VLOOKUP(A170,'Monthly EE List'!A:D,4,0)&amp;" "&amp;VLOOKUP(A170,'Monthly EE List'!A:D,3,0)</f>
        <v>BARRY WOLOVICK</v>
      </c>
      <c r="C170" s="38" t="s">
        <v>434</v>
      </c>
      <c r="D170" s="4" t="s">
        <v>599</v>
      </c>
      <c r="E170" t="s">
        <v>134</v>
      </c>
      <c r="F170" t="s">
        <v>223</v>
      </c>
      <c r="G170" s="4" t="s">
        <v>142</v>
      </c>
      <c r="H170" s="4" t="str">
        <f>VLOOKUP(A170,'Monthly EE List'!A:G,7,0)</f>
        <v>A</v>
      </c>
      <c r="J170" s="5"/>
      <c r="L170" s="4" t="str">
        <f t="shared" ca="1" si="2"/>
        <v/>
      </c>
      <c r="M170" s="6" t="str">
        <f>IF(VLOOKUP($C$4,Working!$A$23:$L$52,Working!$F$21,0)="Y",TEXT($C$6,"YYYYMM")&amp;"_"&amp;$E170&amp;"_"&amp;Working!$B$11&amp;Working!$B$12,"")</f>
        <v>201703_WZBW1_Top15.xlsx</v>
      </c>
      <c r="N170" s="6" t="str">
        <f>IF(VLOOKUP($C$4,Working!$A$23:$L$52,Working!$I$21,0)="Y",TEXT($C$6,"YYYYMM")&amp;"_"&amp;$E170&amp;"_"&amp;Working!$B$13&amp;Working!$B$14,"")</f>
        <v/>
      </c>
      <c r="O170" s="4" t="s">
        <v>228</v>
      </c>
      <c r="P170" s="4" t="s">
        <v>228</v>
      </c>
      <c r="Q170" s="41"/>
      <c r="R170" s="41"/>
      <c r="S170" s="41"/>
      <c r="T170" s="41"/>
      <c r="U170" s="41" t="s">
        <v>228</v>
      </c>
      <c r="V170" s="54"/>
      <c r="AS170"/>
    </row>
    <row r="171" spans="1:45" x14ac:dyDescent="0.3">
      <c r="A171">
        <v>3162</v>
      </c>
      <c r="B171" s="37" t="str">
        <f>VLOOKUP(A171,'Monthly EE List'!A:D,4,0)&amp;" "&amp;VLOOKUP(A171,'Monthly EE List'!A:D,3,0)</f>
        <v>TAMMY SCHERMERHORN</v>
      </c>
      <c r="C171" s="38" t="s">
        <v>436</v>
      </c>
      <c r="D171" s="4" t="s">
        <v>599</v>
      </c>
      <c r="E171" t="s">
        <v>136</v>
      </c>
      <c r="F171" t="s">
        <v>225</v>
      </c>
      <c r="G171" s="4" t="s">
        <v>142</v>
      </c>
      <c r="H171" s="4" t="str">
        <f>VLOOKUP(A171,'Monthly EE List'!A:G,7,0)</f>
        <v>A</v>
      </c>
      <c r="J171" s="5"/>
      <c r="L171" s="4" t="str">
        <f t="shared" ca="1" si="2"/>
        <v/>
      </c>
      <c r="M171" s="6" t="str">
        <f>IF(VLOOKUP($C$4,Working!$A$23:$L$52,Working!$F$21,0)="Y",TEXT($C$6,"YYYYMM")&amp;"_"&amp;$E171&amp;"_"&amp;Working!$B$11&amp;Working!$B$12,"")</f>
        <v>201703_WZ9TS_Top15.xlsx</v>
      </c>
      <c r="N171" s="6" t="str">
        <f>IF(VLOOKUP($C$4,Working!$A$23:$L$52,Working!$I$21,0)="Y",TEXT($C$6,"YYYYMM")&amp;"_"&amp;$E171&amp;"_"&amp;Working!$B$13&amp;Working!$B$14,"")</f>
        <v/>
      </c>
      <c r="O171" s="4" t="s">
        <v>228</v>
      </c>
      <c r="P171" s="4" t="s">
        <v>228</v>
      </c>
      <c r="Q171" s="41"/>
      <c r="R171" s="41"/>
      <c r="S171" s="41"/>
      <c r="T171" s="41"/>
      <c r="U171" s="41" t="s">
        <v>228</v>
      </c>
      <c r="V171" s="4"/>
      <c r="AS171"/>
    </row>
    <row r="172" spans="1:45" x14ac:dyDescent="0.3">
      <c r="A172">
        <v>3166</v>
      </c>
      <c r="B172" s="37" t="str">
        <f>VLOOKUP(A172,'Monthly EE List'!A:D,4,0)&amp;" "&amp;VLOOKUP(A172,'Monthly EE List'!A:D,3,0)</f>
        <v>MICHAEL TASSIE</v>
      </c>
      <c r="C172" s="38" t="s">
        <v>304</v>
      </c>
      <c r="D172" s="4" t="s">
        <v>599</v>
      </c>
      <c r="E172">
        <v>25010</v>
      </c>
      <c r="F172" t="s">
        <v>226</v>
      </c>
      <c r="G172" s="4" t="s">
        <v>244</v>
      </c>
      <c r="H172" s="4" t="str">
        <f>VLOOKUP(A172,'Monthly EE List'!A:G,7,0)</f>
        <v>A</v>
      </c>
      <c r="J172" s="5"/>
      <c r="L172" s="4" t="str">
        <f t="shared" ca="1" si="2"/>
        <v/>
      </c>
      <c r="M172" s="6" t="str">
        <f>IF(VLOOKUP($C$4,Working!$A$23:$L$52,Working!$F$21,0)="Y",TEXT($C$6,"YYYYMM")&amp;"_"&amp;$E172&amp;"_"&amp;Working!$B$11&amp;Working!$B$12,"")</f>
        <v>201703_25010_Top15.xlsx</v>
      </c>
      <c r="N172" s="6" t="str">
        <f>IF(VLOOKUP($C$4,Working!$A$23:$L$52,Working!$I$21,0)="Y",TEXT($C$6,"YYYYMM")&amp;"_"&amp;$E172&amp;"_"&amp;Working!$B$13&amp;Working!$B$14,"")</f>
        <v/>
      </c>
      <c r="O172" s="4"/>
      <c r="P172" s="4"/>
      <c r="Q172" s="41" t="s">
        <v>228</v>
      </c>
      <c r="R172" s="41"/>
      <c r="S172" s="41"/>
      <c r="T172" s="41"/>
      <c r="U172" s="41"/>
      <c r="V172" s="4"/>
      <c r="AS172"/>
    </row>
    <row r="173" spans="1:45" x14ac:dyDescent="0.3">
      <c r="A173">
        <v>3175</v>
      </c>
      <c r="B173" s="37" t="str">
        <f>VLOOKUP(A173,'Monthly EE List'!A:D,4,0)&amp;" "&amp;VLOOKUP(A173,'Monthly EE List'!A:D,3,0)</f>
        <v>JERRY CAMPBELL</v>
      </c>
      <c r="C173" s="38" t="s">
        <v>287</v>
      </c>
      <c r="D173" s="4" t="s">
        <v>599</v>
      </c>
      <c r="E173">
        <v>40301</v>
      </c>
      <c r="F173" t="s">
        <v>223</v>
      </c>
      <c r="G173" s="4" t="s">
        <v>244</v>
      </c>
      <c r="H173" s="4" t="str">
        <f>VLOOKUP(A173,'Monthly EE List'!A:G,7,0)</f>
        <v>A</v>
      </c>
      <c r="I173" t="s">
        <v>212</v>
      </c>
      <c r="J173" s="5">
        <v>41074</v>
      </c>
      <c r="K173" t="s">
        <v>2613</v>
      </c>
      <c r="L173" s="4" t="str">
        <f t="shared" ca="1" si="2"/>
        <v/>
      </c>
      <c r="M173" s="6" t="str">
        <f>IF(VLOOKUP($C$4,Working!$A$23:$L$52,Working!$F$21,0)="Y",TEXT($C$6,"YYYYMM")&amp;"_"&amp;$E173&amp;"_"&amp;Working!$B$11&amp;Working!$B$12,"")</f>
        <v>201703_40301_Top15.xlsx</v>
      </c>
      <c r="N173" s="6" t="str">
        <f>IF(VLOOKUP($C$4,Working!$A$23:$L$52,Working!$I$21,0)="Y",TEXT($C$6,"YYYYMM")&amp;"_"&amp;$E173&amp;"_"&amp;Working!$B$13&amp;Working!$B$14,"")</f>
        <v/>
      </c>
      <c r="O173" s="4"/>
      <c r="P173" s="4"/>
      <c r="Q173" s="41"/>
      <c r="R173" s="41"/>
      <c r="S173" s="41"/>
      <c r="T173" s="41"/>
      <c r="U173" s="41"/>
      <c r="V173" s="4"/>
      <c r="AS173"/>
    </row>
    <row r="174" spans="1:45" x14ac:dyDescent="0.3">
      <c r="A174">
        <v>3182</v>
      </c>
      <c r="B174" s="37" t="str">
        <f>VLOOKUP(A174,'Monthly EE List'!A:D,4,0)&amp;" "&amp;VLOOKUP(A174,'Monthly EE List'!A:D,3,0)</f>
        <v>JEFF BLACKETT</v>
      </c>
      <c r="C174" s="38" t="s">
        <v>286</v>
      </c>
      <c r="D174" s="4" t="s">
        <v>599</v>
      </c>
      <c r="E174">
        <v>78012</v>
      </c>
      <c r="F174" t="s">
        <v>225</v>
      </c>
      <c r="G174" s="4" t="s">
        <v>244</v>
      </c>
      <c r="H174" s="4" t="str">
        <f>VLOOKUP(A174,'Monthly EE List'!A:G,7,0)</f>
        <v>A</v>
      </c>
      <c r="I174" t="s">
        <v>212</v>
      </c>
      <c r="J174" s="5">
        <v>41136</v>
      </c>
      <c r="K174" t="s">
        <v>2664</v>
      </c>
      <c r="L174" s="4" t="str">
        <f t="shared" ca="1" si="2"/>
        <v/>
      </c>
      <c r="M174" s="6" t="str">
        <f>IF(VLOOKUP($C$4,Working!$A$23:$L$52,Working!$F$21,0)="Y",TEXT($C$6,"YYYYMM")&amp;"_"&amp;$E174&amp;"_"&amp;Working!$B$11&amp;Working!$B$12,"")</f>
        <v>201703_78012_Top15.xlsx</v>
      </c>
      <c r="N174" s="6" t="str">
        <f>IF(VLOOKUP($C$4,Working!$A$23:$L$52,Working!$I$21,0)="Y",TEXT($C$6,"YYYYMM")&amp;"_"&amp;$E174&amp;"_"&amp;Working!$B$13&amp;Working!$B$14,"")</f>
        <v/>
      </c>
      <c r="O174" s="4"/>
      <c r="P174" s="4"/>
      <c r="Q174" s="41" t="s">
        <v>228</v>
      </c>
      <c r="R174" s="41"/>
      <c r="S174" s="41"/>
      <c r="T174" s="41"/>
      <c r="U174" s="41"/>
      <c r="V174" s="4"/>
      <c r="AS174"/>
    </row>
    <row r="175" spans="1:45" x14ac:dyDescent="0.3">
      <c r="A175">
        <v>3186</v>
      </c>
      <c r="B175" s="37" t="str">
        <f>VLOOKUP(A175,'Monthly EE List'!A:D,4,0)&amp;" "&amp;VLOOKUP(A175,'Monthly EE List'!A:D,3,0)</f>
        <v>HUGH MCMURDO</v>
      </c>
      <c r="C175" s="38" t="s">
        <v>504</v>
      </c>
      <c r="D175" s="4" t="s">
        <v>599</v>
      </c>
      <c r="E175" t="s">
        <v>140</v>
      </c>
      <c r="F175" t="s">
        <v>223</v>
      </c>
      <c r="G175" s="4" t="s">
        <v>3008</v>
      </c>
      <c r="H175" s="4" t="str">
        <f>VLOOKUP(A175,'Monthly EE List'!A:G,7,0)</f>
        <v>A</v>
      </c>
      <c r="I175" t="s">
        <v>211</v>
      </c>
      <c r="J175" s="5">
        <v>40372</v>
      </c>
      <c r="K175" t="s">
        <v>2503</v>
      </c>
      <c r="L175" s="4" t="str">
        <f t="shared" ca="1" si="2"/>
        <v/>
      </c>
      <c r="M175" s="6" t="str">
        <f>IF(VLOOKUP($C$4,Working!$A$23:$L$52,Working!$F$21,0)="Y",TEXT($C$6,"YYYYMM")&amp;"_"&amp;$E175&amp;"_"&amp;Working!$B$11&amp;Working!$B$12,"")</f>
        <v>201703_WZ1HM_Top15.xlsx</v>
      </c>
      <c r="N175" s="6" t="str">
        <f>IF(VLOOKUP($C$4,Working!$A$23:$L$52,Working!$I$21,0)="Y",TEXT($C$6,"YYYYMM")&amp;"_"&amp;$E175&amp;"_"&amp;Working!$B$13&amp;Working!$B$14,"")</f>
        <v/>
      </c>
      <c r="O175" s="4" t="s">
        <v>228</v>
      </c>
      <c r="P175" s="4" t="s">
        <v>228</v>
      </c>
      <c r="Q175" s="41"/>
      <c r="R175" s="41"/>
      <c r="S175" s="41"/>
      <c r="T175" s="41"/>
      <c r="U175" s="41" t="s">
        <v>228</v>
      </c>
      <c r="V175" s="4"/>
      <c r="AS175"/>
    </row>
    <row r="176" spans="1:45" x14ac:dyDescent="0.3">
      <c r="A176">
        <v>3186</v>
      </c>
      <c r="B176" s="37" t="str">
        <f>VLOOKUP(A176,'Monthly EE List'!A:D,4,0)&amp;" "&amp;VLOOKUP(A176,'Monthly EE List'!A:D,3,0)</f>
        <v>HUGH MCMURDO</v>
      </c>
      <c r="C176" s="38" t="s">
        <v>504</v>
      </c>
      <c r="D176" s="4" t="s">
        <v>599</v>
      </c>
      <c r="E176" t="s">
        <v>141</v>
      </c>
      <c r="F176" t="s">
        <v>225</v>
      </c>
      <c r="G176" s="4" t="s">
        <v>3008</v>
      </c>
      <c r="H176" s="4" t="str">
        <f>VLOOKUP(A176,'Monthly EE List'!A:G,7,0)</f>
        <v>A</v>
      </c>
      <c r="I176" t="s">
        <v>211</v>
      </c>
      <c r="J176" s="5">
        <v>40372</v>
      </c>
      <c r="K176" t="s">
        <v>2504</v>
      </c>
      <c r="L176" s="4" t="str">
        <f t="shared" ca="1" si="2"/>
        <v/>
      </c>
      <c r="M176" s="6" t="str">
        <f>IF(VLOOKUP($C$4,Working!$A$23:$L$52,Working!$F$21,0)="Y",TEXT($C$6,"YYYYMM")&amp;"_"&amp;$E176&amp;"_"&amp;Working!$B$11&amp;Working!$B$12,"")</f>
        <v>201703_WZ2HM_Top15.xlsx</v>
      </c>
      <c r="N176" s="6" t="str">
        <f>IF(VLOOKUP($C$4,Working!$A$23:$L$52,Working!$I$21,0)="Y",TEXT($C$6,"YYYYMM")&amp;"_"&amp;$E176&amp;"_"&amp;Working!$B$13&amp;Working!$B$14,"")</f>
        <v/>
      </c>
      <c r="O176" s="4" t="s">
        <v>228</v>
      </c>
      <c r="P176" s="54"/>
      <c r="Q176" s="41"/>
      <c r="R176" s="41"/>
      <c r="S176" s="41"/>
      <c r="T176" s="41"/>
      <c r="U176" s="41" t="s">
        <v>228</v>
      </c>
      <c r="V176" s="4"/>
      <c r="AS176"/>
    </row>
    <row r="177" spans="1:45" x14ac:dyDescent="0.3">
      <c r="A177">
        <v>3187</v>
      </c>
      <c r="B177" s="37" t="str">
        <f>VLOOKUP(A177,'Monthly EE List'!A:D,4,0)&amp;" "&amp;VLOOKUP(A177,'Monthly EE List'!A:D,3,0)</f>
        <v>JAMIE MCMURDO</v>
      </c>
      <c r="C177" s="38" t="s">
        <v>505</v>
      </c>
      <c r="D177" s="4" t="s">
        <v>599</v>
      </c>
      <c r="E177" t="s">
        <v>140</v>
      </c>
      <c r="F177" t="s">
        <v>223</v>
      </c>
      <c r="G177" s="4" t="s">
        <v>3008</v>
      </c>
      <c r="H177" s="4" t="str">
        <f>VLOOKUP(A177,'Monthly EE List'!A:G,7,0)</f>
        <v>A</v>
      </c>
      <c r="I177" t="s">
        <v>211</v>
      </c>
      <c r="J177" s="5">
        <v>40372</v>
      </c>
      <c r="K177" t="s">
        <v>2503</v>
      </c>
      <c r="L177" s="4" t="str">
        <f t="shared" ca="1" si="2"/>
        <v/>
      </c>
      <c r="M177" s="6" t="str">
        <f>IF(VLOOKUP($C$4,Working!$A$23:$L$52,Working!$F$21,0)="Y",TEXT($C$6,"YYYYMM")&amp;"_"&amp;$E177&amp;"_"&amp;Working!$B$11&amp;Working!$B$12,"")</f>
        <v>201703_WZ1HM_Top15.xlsx</v>
      </c>
      <c r="N177" s="6" t="str">
        <f>IF(VLOOKUP($C$4,Working!$A$23:$L$52,Working!$I$21,0)="Y",TEXT($C$6,"YYYYMM")&amp;"_"&amp;$E177&amp;"_"&amp;Working!$B$13&amp;Working!$B$14,"")</f>
        <v/>
      </c>
      <c r="O177" s="4" t="s">
        <v>228</v>
      </c>
      <c r="P177" s="4" t="s">
        <v>228</v>
      </c>
      <c r="Q177" s="41"/>
      <c r="R177" s="41"/>
      <c r="S177" s="41"/>
      <c r="T177" s="41"/>
      <c r="U177" s="41" t="s">
        <v>228</v>
      </c>
      <c r="V177" s="4"/>
      <c r="AS177"/>
    </row>
    <row r="178" spans="1:45" x14ac:dyDescent="0.3">
      <c r="A178">
        <v>3187</v>
      </c>
      <c r="B178" s="37" t="str">
        <f>VLOOKUP(A178,'Monthly EE List'!A:D,4,0)&amp;" "&amp;VLOOKUP(A178,'Monthly EE List'!A:D,3,0)</f>
        <v>JAMIE MCMURDO</v>
      </c>
      <c r="C178" s="38" t="s">
        <v>505</v>
      </c>
      <c r="D178" s="4" t="s">
        <v>599</v>
      </c>
      <c r="E178" t="s">
        <v>141</v>
      </c>
      <c r="F178" t="s">
        <v>225</v>
      </c>
      <c r="G178" s="4" t="s">
        <v>3008</v>
      </c>
      <c r="H178" s="4" t="str">
        <f>VLOOKUP(A178,'Monthly EE List'!A:G,7,0)</f>
        <v>A</v>
      </c>
      <c r="I178" t="s">
        <v>211</v>
      </c>
      <c r="J178" s="5">
        <v>40372</v>
      </c>
      <c r="K178" t="s">
        <v>2504</v>
      </c>
      <c r="L178" s="4" t="str">
        <f t="shared" ca="1" si="2"/>
        <v/>
      </c>
      <c r="M178" s="6" t="str">
        <f>IF(VLOOKUP($C$4,Working!$A$23:$L$52,Working!$F$21,0)="Y",TEXT($C$6,"YYYYMM")&amp;"_"&amp;$E178&amp;"_"&amp;Working!$B$11&amp;Working!$B$12,"")</f>
        <v>201703_WZ2HM_Top15.xlsx</v>
      </c>
      <c r="N178" s="6" t="str">
        <f>IF(VLOOKUP($C$4,Working!$A$23:$L$52,Working!$I$21,0)="Y",TEXT($C$6,"YYYYMM")&amp;"_"&amp;$E178&amp;"_"&amp;Working!$B$13&amp;Working!$B$14,"")</f>
        <v/>
      </c>
      <c r="O178" s="4" t="s">
        <v>228</v>
      </c>
      <c r="P178" s="54"/>
      <c r="Q178" s="41"/>
      <c r="R178" s="41"/>
      <c r="S178" s="41"/>
      <c r="T178" s="41"/>
      <c r="U178" s="41" t="s">
        <v>228</v>
      </c>
      <c r="V178" s="4"/>
      <c r="AS178"/>
    </row>
    <row r="179" spans="1:45" x14ac:dyDescent="0.3">
      <c r="A179">
        <v>3188</v>
      </c>
      <c r="B179" s="37" t="str">
        <f>VLOOKUP(A179,'Monthly EE List'!A:D,4,0)&amp;" "&amp;VLOOKUP(A179,'Monthly EE List'!A:D,3,0)</f>
        <v>ROBERT PIERCY</v>
      </c>
      <c r="C179" s="38" t="s">
        <v>440</v>
      </c>
      <c r="D179" s="4" t="s">
        <v>599</v>
      </c>
      <c r="E179" t="s">
        <v>148</v>
      </c>
      <c r="F179" t="s">
        <v>225</v>
      </c>
      <c r="G179" s="4" t="s">
        <v>142</v>
      </c>
      <c r="H179" s="4" t="str">
        <f>VLOOKUP(A179,'Monthly EE List'!A:G,7,0)</f>
        <v>A</v>
      </c>
      <c r="I179" t="s">
        <v>211</v>
      </c>
      <c r="J179" s="5">
        <v>40450</v>
      </c>
      <c r="K179" t="s">
        <v>147</v>
      </c>
      <c r="L179" s="4" t="str">
        <f t="shared" ca="1" si="2"/>
        <v/>
      </c>
      <c r="M179" s="6" t="str">
        <f>IF(VLOOKUP($C$4,Working!$A$23:$L$52,Working!$F$21,0)="Y",TEXT($C$6,"YYYYMM")&amp;"_"&amp;$E179&amp;"_"&amp;Working!$B$11&amp;Working!$B$12,"")</f>
        <v>201703_WZ2RP_Top15.xlsx</v>
      </c>
      <c r="N179" s="6" t="str">
        <f>IF(VLOOKUP($C$4,Working!$A$23:$L$52,Working!$I$21,0)="Y",TEXT($C$6,"YYYYMM")&amp;"_"&amp;$E179&amp;"_"&amp;Working!$B$13&amp;Working!$B$14,"")</f>
        <v/>
      </c>
      <c r="O179" s="4" t="s">
        <v>228</v>
      </c>
      <c r="P179" s="4" t="s">
        <v>228</v>
      </c>
      <c r="Q179" s="41"/>
      <c r="R179" s="41"/>
      <c r="S179" s="41"/>
      <c r="T179" s="41"/>
      <c r="U179" s="41" t="s">
        <v>228</v>
      </c>
      <c r="V179" s="4"/>
      <c r="AS179"/>
    </row>
    <row r="180" spans="1:45" x14ac:dyDescent="0.3">
      <c r="A180">
        <v>3192</v>
      </c>
      <c r="B180" s="37" t="str">
        <f>VLOOKUP(A180,'Monthly EE List'!A:D,4,0)&amp;" "&amp;VLOOKUP(A180,'Monthly EE List'!A:D,3,0)</f>
        <v>BERNARDINO LISI</v>
      </c>
      <c r="C180" s="38" t="s">
        <v>568</v>
      </c>
      <c r="D180" s="4" t="s">
        <v>599</v>
      </c>
      <c r="E180">
        <v>20413</v>
      </c>
      <c r="F180" t="s">
        <v>216</v>
      </c>
      <c r="G180" s="4" t="s">
        <v>244</v>
      </c>
      <c r="H180" s="4" t="str">
        <f>VLOOKUP(A180,'Monthly EE List'!A:G,7,0)</f>
        <v>A</v>
      </c>
      <c r="I180" t="s">
        <v>211</v>
      </c>
      <c r="J180" s="5">
        <v>40709</v>
      </c>
      <c r="K180" t="s">
        <v>551</v>
      </c>
      <c r="L180" s="4" t="str">
        <f t="shared" ca="1" si="2"/>
        <v/>
      </c>
      <c r="M180" s="6" t="str">
        <f>IF(VLOOKUP($C$4,Working!$A$23:$L$52,Working!$F$21,0)="Y",TEXT($C$6,"YYYYMM")&amp;"_"&amp;$E180&amp;"_"&amp;Working!$B$11&amp;Working!$B$12,"")</f>
        <v>201703_20413_Top15.xlsx</v>
      </c>
      <c r="N180" s="6" t="str">
        <f>IF(VLOOKUP($C$4,Working!$A$23:$L$52,Working!$I$21,0)="Y",TEXT($C$6,"YYYYMM")&amp;"_"&amp;$E180&amp;"_"&amp;Working!$B$13&amp;Working!$B$14,"")</f>
        <v/>
      </c>
      <c r="O180" s="4"/>
      <c r="P180" s="4"/>
      <c r="Q180" s="41" t="s">
        <v>228</v>
      </c>
      <c r="R180" s="41"/>
      <c r="S180" s="41"/>
      <c r="T180" s="41"/>
      <c r="U180" s="41"/>
      <c r="V180" s="4"/>
      <c r="AS180"/>
    </row>
    <row r="181" spans="1:45" x14ac:dyDescent="0.3">
      <c r="A181">
        <v>3193</v>
      </c>
      <c r="B181" s="37" t="str">
        <f>VLOOKUP(A181,'Monthly EE List'!A:D,4,0)&amp;" "&amp;VLOOKUP(A181,'Monthly EE List'!A:D,3,0)</f>
        <v>ALFRED KARBA</v>
      </c>
      <c r="C181" s="38" t="s">
        <v>570</v>
      </c>
      <c r="D181" s="4" t="s">
        <v>599</v>
      </c>
      <c r="E181">
        <v>78013</v>
      </c>
      <c r="F181" t="s">
        <v>225</v>
      </c>
      <c r="G181" s="4" t="s">
        <v>244</v>
      </c>
      <c r="H181" s="4" t="str">
        <f>VLOOKUP(A181,'Monthly EE List'!A:G,7,0)</f>
        <v>A</v>
      </c>
      <c r="I181" t="s">
        <v>212</v>
      </c>
      <c r="J181" s="5">
        <v>41136</v>
      </c>
      <c r="K181" t="s">
        <v>2664</v>
      </c>
      <c r="L181" s="4" t="str">
        <f t="shared" ca="1" si="2"/>
        <v/>
      </c>
      <c r="M181" s="6" t="str">
        <f>IF(VLOOKUP($C$4,Working!$A$23:$L$52,Working!$F$21,0)="Y",TEXT($C$6,"YYYYMM")&amp;"_"&amp;$E181&amp;"_"&amp;Working!$B$11&amp;Working!$B$12,"")</f>
        <v>201703_78013_Top15.xlsx</v>
      </c>
      <c r="N181" s="6" t="str">
        <f>IF(VLOOKUP($C$4,Working!$A$23:$L$52,Working!$I$21,0)="Y",TEXT($C$6,"YYYYMM")&amp;"_"&amp;$E181&amp;"_"&amp;Working!$B$13&amp;Working!$B$14,"")</f>
        <v/>
      </c>
      <c r="O181" s="4"/>
      <c r="P181" s="4"/>
      <c r="Q181" s="41" t="s">
        <v>228</v>
      </c>
      <c r="R181" s="41"/>
      <c r="S181" s="41"/>
      <c r="T181" s="41"/>
      <c r="U181" s="41"/>
      <c r="V181" s="4"/>
      <c r="AS181"/>
    </row>
    <row r="182" spans="1:45" x14ac:dyDescent="0.3">
      <c r="A182">
        <v>3194</v>
      </c>
      <c r="B182" s="37" t="str">
        <f>VLOOKUP(A182,'Monthly EE List'!A:D,4,0)&amp;" "&amp;VLOOKUP(A182,'Monthly EE List'!A:D,3,0)</f>
        <v>TYLER THOMPSON</v>
      </c>
      <c r="C182" s="38" t="s">
        <v>2400</v>
      </c>
      <c r="D182" s="4" t="s">
        <v>599</v>
      </c>
      <c r="E182" t="s">
        <v>2421</v>
      </c>
      <c r="F182" t="s">
        <v>214</v>
      </c>
      <c r="G182" s="4" t="s">
        <v>142</v>
      </c>
      <c r="H182" s="4" t="str">
        <f>VLOOKUP(A182,'Monthly EE List'!A:G,7,0)</f>
        <v>A</v>
      </c>
      <c r="I182" t="s">
        <v>211</v>
      </c>
      <c r="J182" s="5">
        <v>40827</v>
      </c>
      <c r="K182" t="s">
        <v>147</v>
      </c>
      <c r="L182" s="4" t="str">
        <f t="shared" ca="1" si="2"/>
        <v/>
      </c>
      <c r="M182" s="6" t="str">
        <f>IF(VLOOKUP($C$4,Working!$A$23:$L$52,Working!$F$21,0)="Y",TEXT($C$6,"YYYYMM")&amp;"_"&amp;$E182&amp;"_"&amp;Working!$B$11&amp;Working!$B$12,"")</f>
        <v>201703_WZ1TT_Top15.xlsx</v>
      </c>
      <c r="N182" s="6" t="str">
        <f>IF(VLOOKUP($C$4,Working!$A$23:$L$52,Working!$I$21,0)="Y",TEXT($C$6,"YYYYMM")&amp;"_"&amp;$E182&amp;"_"&amp;Working!$B$13&amp;Working!$B$14,"")</f>
        <v/>
      </c>
      <c r="O182" s="4" t="s">
        <v>228</v>
      </c>
      <c r="P182" s="4" t="s">
        <v>228</v>
      </c>
      <c r="Q182" s="41"/>
      <c r="R182" s="41"/>
      <c r="S182" s="41"/>
      <c r="T182" s="41"/>
      <c r="U182" s="41" t="s">
        <v>228</v>
      </c>
      <c r="V182" s="54"/>
      <c r="AS182"/>
    </row>
    <row r="183" spans="1:45" x14ac:dyDescent="0.3">
      <c r="A183">
        <v>3196</v>
      </c>
      <c r="B183" s="37" t="str">
        <f>VLOOKUP(A183,'Monthly EE List'!A:D,4,0)&amp;" "&amp;VLOOKUP(A183,'Monthly EE List'!A:D,3,0)</f>
        <v>LEON HALL</v>
      </c>
      <c r="C183" s="38" t="s">
        <v>2889</v>
      </c>
      <c r="D183" s="4" t="s">
        <v>599</v>
      </c>
      <c r="E183" s="10">
        <v>40319</v>
      </c>
      <c r="F183" t="s">
        <v>223</v>
      </c>
      <c r="G183" s="4" t="s">
        <v>244</v>
      </c>
      <c r="H183" s="4" t="str">
        <f>VLOOKUP(A183,'Monthly EE List'!A:G,7,0)</f>
        <v>A</v>
      </c>
      <c r="I183" t="s">
        <v>212</v>
      </c>
      <c r="J183" s="5">
        <v>41379</v>
      </c>
      <c r="K183" t="s">
        <v>567</v>
      </c>
      <c r="L183" s="4" t="str">
        <f t="shared" ca="1" si="2"/>
        <v/>
      </c>
      <c r="M183" s="6" t="str">
        <f>IF(VLOOKUP($C$4,Working!$A$23:$L$52,Working!$F$21,0)="Y",TEXT($C$6,"YYYYMM")&amp;"_"&amp;$E183&amp;"_"&amp;Working!$B$11&amp;Working!$B$12,"")</f>
        <v>201703_40319_Top15.xlsx</v>
      </c>
      <c r="N183" s="6" t="str">
        <f>IF(VLOOKUP($C$4,Working!$A$23:$L$52,Working!$I$21,0)="Y",TEXT($C$6,"YYYYMM")&amp;"_"&amp;$E183&amp;"_"&amp;Working!$B$13&amp;Working!$B$14,"")</f>
        <v/>
      </c>
      <c r="O183" s="4"/>
      <c r="P183" s="4"/>
      <c r="Q183" s="41" t="s">
        <v>228</v>
      </c>
      <c r="R183" s="41"/>
      <c r="S183" s="41"/>
      <c r="T183" s="41"/>
      <c r="U183" s="41"/>
      <c r="V183" s="4"/>
      <c r="AS183"/>
    </row>
    <row r="184" spans="1:45" x14ac:dyDescent="0.3">
      <c r="A184" s="44">
        <v>3201</v>
      </c>
      <c r="B184" s="37" t="str">
        <f>VLOOKUP(A184,'Monthly EE List'!A:D,4,0)&amp;" "&amp;VLOOKUP(A184,'Monthly EE List'!A:D,3,0)</f>
        <v>PRASHANT OHRI</v>
      </c>
      <c r="C184" s="38" t="s">
        <v>2713</v>
      </c>
      <c r="D184" s="4" t="s">
        <v>599</v>
      </c>
      <c r="E184" t="s">
        <v>3202</v>
      </c>
      <c r="F184" t="s">
        <v>214</v>
      </c>
      <c r="G184" s="4" t="s">
        <v>3024</v>
      </c>
      <c r="H184" s="4" t="str">
        <f>VLOOKUP(A184,'Monthly EE List'!A:G,7,0)</f>
        <v>A</v>
      </c>
      <c r="I184" t="s">
        <v>211</v>
      </c>
      <c r="J184" s="5">
        <v>41191</v>
      </c>
      <c r="K184" t="s">
        <v>2716</v>
      </c>
      <c r="L184" s="4" t="str">
        <f t="shared" ref="L184:L188" ca="1" si="4">IF(OFFSET(N184,,$C$4)="X","X","")</f>
        <v>X</v>
      </c>
      <c r="M184" s="6" t="str">
        <f>IF(VLOOKUP($C$4,Working!$A$23:$L$52,Working!$F$21,0)="Y",TEXT($C$6,"YYYYMM")&amp;"_"&amp;$E184&amp;"_"&amp;Working!$B$11&amp;Working!$B$12,"")</f>
        <v>201703_VAC01_Top15.xlsx</v>
      </c>
      <c r="N184" s="6" t="str">
        <f>IF(VLOOKUP($C$4,Working!$A$23:$L$52,Working!$I$21,0)="Y",TEXT($C$6,"YYYYMM")&amp;"_"&amp;$E184&amp;"_"&amp;Working!$B$13&amp;Working!$B$14,"")</f>
        <v/>
      </c>
      <c r="O184" s="4"/>
      <c r="P184" s="4"/>
      <c r="Q184" s="41"/>
      <c r="R184" s="41"/>
      <c r="S184" s="41"/>
      <c r="T184" s="41"/>
      <c r="U184" s="4"/>
      <c r="V184" s="4"/>
      <c r="W184" s="4" t="s">
        <v>228</v>
      </c>
      <c r="AS184"/>
    </row>
    <row r="185" spans="1:45" x14ac:dyDescent="0.3">
      <c r="A185" s="44">
        <v>3201</v>
      </c>
      <c r="B185" s="37" t="str">
        <f>VLOOKUP(A185,'Monthly EE List'!A:D,4,0)&amp;" "&amp;VLOOKUP(A185,'Monthly EE List'!A:D,3,0)</f>
        <v>PRASHANT OHRI</v>
      </c>
      <c r="C185" s="38" t="s">
        <v>2713</v>
      </c>
      <c r="D185" s="4" t="s">
        <v>599</v>
      </c>
      <c r="E185" t="s">
        <v>3203</v>
      </c>
      <c r="F185" t="s">
        <v>214</v>
      </c>
      <c r="G185" s="4" t="s">
        <v>3024</v>
      </c>
      <c r="H185" s="4" t="str">
        <f>VLOOKUP(A185,'Monthly EE List'!A:G,7,0)</f>
        <v>A</v>
      </c>
      <c r="I185" t="s">
        <v>211</v>
      </c>
      <c r="J185" s="5">
        <v>41191</v>
      </c>
      <c r="K185" t="s">
        <v>2716</v>
      </c>
      <c r="L185" s="4" t="str">
        <f t="shared" ca="1" si="4"/>
        <v>X</v>
      </c>
      <c r="M185" s="6" t="str">
        <f>IF(VLOOKUP($C$4,Working!$A$23:$L$52,Working!$F$21,0)="Y",TEXT($C$6,"YYYYMM")&amp;"_"&amp;$E185&amp;"_"&amp;Working!$B$11&amp;Working!$B$12,"")</f>
        <v>201703_VAC02_Top15.xlsx</v>
      </c>
      <c r="N185" s="6" t="str">
        <f>IF(VLOOKUP($C$4,Working!$A$23:$L$52,Working!$I$21,0)="Y",TEXT($C$6,"YYYYMM")&amp;"_"&amp;$E185&amp;"_"&amp;Working!$B$13&amp;Working!$B$14,"")</f>
        <v/>
      </c>
      <c r="O185" s="4"/>
      <c r="P185" s="4"/>
      <c r="Q185" s="41"/>
      <c r="R185" s="41"/>
      <c r="S185" s="41"/>
      <c r="T185" s="41"/>
      <c r="U185" s="4"/>
      <c r="V185" s="4"/>
      <c r="W185" s="4" t="s">
        <v>228</v>
      </c>
      <c r="AS185"/>
    </row>
    <row r="186" spans="1:45" x14ac:dyDescent="0.3">
      <c r="A186" s="44">
        <v>3201</v>
      </c>
      <c r="B186" s="37" t="str">
        <f>VLOOKUP(A186,'Monthly EE List'!A:D,4,0)&amp;" "&amp;VLOOKUP(A186,'Monthly EE List'!A:D,3,0)</f>
        <v>PRASHANT OHRI</v>
      </c>
      <c r="C186" s="38" t="s">
        <v>2713</v>
      </c>
      <c r="D186" s="4" t="s">
        <v>599</v>
      </c>
      <c r="E186" t="s">
        <v>3204</v>
      </c>
      <c r="F186" t="s">
        <v>214</v>
      </c>
      <c r="G186" s="4" t="s">
        <v>3024</v>
      </c>
      <c r="H186" s="4" t="str">
        <f>VLOOKUP(A186,'Monthly EE List'!A:G,7,0)</f>
        <v>A</v>
      </c>
      <c r="I186" t="s">
        <v>211</v>
      </c>
      <c r="J186" s="5">
        <v>41191</v>
      </c>
      <c r="K186" t="s">
        <v>2716</v>
      </c>
      <c r="L186" s="4" t="str">
        <f t="shared" ca="1" si="4"/>
        <v>X</v>
      </c>
      <c r="M186" s="6" t="str">
        <f>IF(VLOOKUP($C$4,Working!$A$23:$L$52,Working!$F$21,0)="Y",TEXT($C$6,"YYYYMM")&amp;"_"&amp;$E186&amp;"_"&amp;Working!$B$11&amp;Working!$B$12,"")</f>
        <v>201703_VAC03_Top15.xlsx</v>
      </c>
      <c r="N186" s="6" t="str">
        <f>IF(VLOOKUP($C$4,Working!$A$23:$L$52,Working!$I$21,0)="Y",TEXT($C$6,"YYYYMM")&amp;"_"&amp;$E186&amp;"_"&amp;Working!$B$13&amp;Working!$B$14,"")</f>
        <v/>
      </c>
      <c r="O186" s="4"/>
      <c r="P186" s="4"/>
      <c r="Q186" s="41"/>
      <c r="R186" s="41"/>
      <c r="S186" s="41"/>
      <c r="T186" s="41"/>
      <c r="U186" s="4"/>
      <c r="V186" s="4"/>
      <c r="W186" s="4" t="s">
        <v>228</v>
      </c>
      <c r="AS186"/>
    </row>
    <row r="187" spans="1:45" x14ac:dyDescent="0.3">
      <c r="A187" s="44">
        <v>3201</v>
      </c>
      <c r="B187" s="37" t="str">
        <f>VLOOKUP(A187,'Monthly EE List'!A:D,4,0)&amp;" "&amp;VLOOKUP(A187,'Monthly EE List'!A:D,3,0)</f>
        <v>PRASHANT OHRI</v>
      </c>
      <c r="C187" s="38" t="s">
        <v>2713</v>
      </c>
      <c r="D187" s="4" t="s">
        <v>599</v>
      </c>
      <c r="E187" t="s">
        <v>214</v>
      </c>
      <c r="F187" t="s">
        <v>214</v>
      </c>
      <c r="G187" s="4" t="s">
        <v>3024</v>
      </c>
      <c r="H187" s="4" t="str">
        <f>VLOOKUP(A187,'Monthly EE List'!A:G,7,0)</f>
        <v>A</v>
      </c>
      <c r="I187" t="s">
        <v>211</v>
      </c>
      <c r="J187" s="5">
        <v>41191</v>
      </c>
      <c r="K187" t="s">
        <v>2716</v>
      </c>
      <c r="L187" s="4" t="str">
        <f t="shared" ca="1" si="4"/>
        <v>X</v>
      </c>
      <c r="M187" s="6" t="str">
        <f>IF(VLOOKUP($C$4,Working!$A$23:$L$52,Working!$F$21,0)="Y",TEXT($C$6,"YYYYMM")&amp;"_"&amp;$E187&amp;"_"&amp;Working!$B$11&amp;Working!$B$12,"")</f>
        <v>201703_VACVR_Top15.xlsx</v>
      </c>
      <c r="N187" s="6" t="str">
        <f>IF(VLOOKUP($C$4,Working!$A$23:$L$52,Working!$I$21,0)="Y",TEXT($C$6,"YYYYMM")&amp;"_"&amp;$E187&amp;"_"&amp;Working!$B$13&amp;Working!$B$14,"")</f>
        <v/>
      </c>
      <c r="O187" s="4"/>
      <c r="P187" s="4"/>
      <c r="Q187" s="41"/>
      <c r="R187" s="41"/>
      <c r="S187" s="41"/>
      <c r="T187" s="41"/>
      <c r="U187" s="4"/>
      <c r="V187" s="4"/>
      <c r="W187" s="4" t="s">
        <v>228</v>
      </c>
      <c r="AS187"/>
    </row>
    <row r="188" spans="1:45" x14ac:dyDescent="0.3">
      <c r="A188" s="44">
        <v>3201</v>
      </c>
      <c r="B188" s="37" t="str">
        <f>VLOOKUP(A188,'Monthly EE List'!A:D,4,0)&amp;" "&amp;VLOOKUP(A188,'Monthly EE List'!A:D,3,0)</f>
        <v>PRASHANT OHRI</v>
      </c>
      <c r="C188" s="38" t="s">
        <v>2713</v>
      </c>
      <c r="D188" s="4" t="s">
        <v>599</v>
      </c>
      <c r="E188" t="s">
        <v>226</v>
      </c>
      <c r="F188" t="s">
        <v>226</v>
      </c>
      <c r="G188" s="4" t="s">
        <v>3024</v>
      </c>
      <c r="H188" s="4" t="str">
        <f>VLOOKUP(A188,'Monthly EE List'!A:G,7,0)</f>
        <v>A</v>
      </c>
      <c r="I188" t="s">
        <v>211</v>
      </c>
      <c r="J188" s="5">
        <v>41191</v>
      </c>
      <c r="K188" t="s">
        <v>2716</v>
      </c>
      <c r="L188" s="4" t="str">
        <f t="shared" ca="1" si="4"/>
        <v>X</v>
      </c>
      <c r="M188" s="6" t="str">
        <f>IF(VLOOKUP($C$4,Working!$A$23:$L$52,Working!$F$21,0)="Y",TEXT($C$6,"YYYYMM")&amp;"_"&amp;$E188&amp;"_"&amp;Working!$B$11&amp;Working!$B$12,"")</f>
        <v>201703_VICTR_Top15.xlsx</v>
      </c>
      <c r="N188" s="6" t="str">
        <f>IF(VLOOKUP($C$4,Working!$A$23:$L$52,Working!$I$21,0)="Y",TEXT($C$6,"YYYYMM")&amp;"_"&amp;$E188&amp;"_"&amp;Working!$B$13&amp;Working!$B$14,"")</f>
        <v/>
      </c>
      <c r="O188" s="4"/>
      <c r="P188" s="4"/>
      <c r="Q188" s="41"/>
      <c r="R188" s="41"/>
      <c r="S188" s="41"/>
      <c r="T188" s="41"/>
      <c r="U188" s="4"/>
      <c r="V188" s="4"/>
      <c r="W188" s="4" t="s">
        <v>228</v>
      </c>
      <c r="AS188"/>
    </row>
    <row r="189" spans="1:45" x14ac:dyDescent="0.3">
      <c r="A189" s="44">
        <v>3350</v>
      </c>
      <c r="B189" s="37" t="str">
        <f>VLOOKUP(A189,'Monthly EE List'!A:D,4,0)&amp;" "&amp;VLOOKUP(A189,'Monthly EE List'!A:D,3,0)</f>
        <v>ADAM JONES</v>
      </c>
      <c r="C189" s="38" t="s">
        <v>3778</v>
      </c>
      <c r="D189" s="4" t="s">
        <v>599</v>
      </c>
      <c r="E189" t="s">
        <v>3202</v>
      </c>
      <c r="F189" t="s">
        <v>214</v>
      </c>
      <c r="G189" s="4" t="s">
        <v>3024</v>
      </c>
      <c r="H189" s="4" t="str">
        <f>VLOOKUP(A189,'Monthly EE List'!A:G,7,0)</f>
        <v>A</v>
      </c>
      <c r="I189" t="s">
        <v>211</v>
      </c>
      <c r="J189" s="5">
        <v>42829</v>
      </c>
      <c r="K189" t="s">
        <v>2716</v>
      </c>
      <c r="L189" s="4" t="str">
        <f t="shared" ca="1" si="2"/>
        <v>X</v>
      </c>
      <c r="M189" s="6" t="str">
        <f>IF(VLOOKUP($C$4,Working!$A$23:$L$52,Working!$F$21,0)="Y",TEXT($C$6,"YYYYMM")&amp;"_"&amp;$E189&amp;"_"&amp;Working!$B$11&amp;Working!$B$12,"")</f>
        <v>201703_VAC01_Top15.xlsx</v>
      </c>
      <c r="N189" s="6" t="str">
        <f>IF(VLOOKUP($C$4,Working!$A$23:$L$52,Working!$I$21,0)="Y",TEXT($C$6,"YYYYMM")&amp;"_"&amp;$E189&amp;"_"&amp;Working!$B$13&amp;Working!$B$14,"")</f>
        <v/>
      </c>
      <c r="O189" s="4"/>
      <c r="P189" s="4"/>
      <c r="Q189" s="41"/>
      <c r="R189" s="41"/>
      <c r="S189" s="41"/>
      <c r="T189" s="41"/>
      <c r="U189" s="4"/>
      <c r="V189" s="4"/>
      <c r="W189" s="4" t="s">
        <v>228</v>
      </c>
      <c r="AS189"/>
    </row>
    <row r="190" spans="1:45" x14ac:dyDescent="0.3">
      <c r="A190" s="44">
        <v>3350</v>
      </c>
      <c r="B190" s="37" t="str">
        <f>VLOOKUP(A190,'Monthly EE List'!A:D,4,0)&amp;" "&amp;VLOOKUP(A190,'Monthly EE List'!A:D,3,0)</f>
        <v>ADAM JONES</v>
      </c>
      <c r="C190" s="38" t="s">
        <v>3778</v>
      </c>
      <c r="D190" s="4" t="s">
        <v>599</v>
      </c>
      <c r="E190" t="s">
        <v>3203</v>
      </c>
      <c r="F190" t="s">
        <v>214</v>
      </c>
      <c r="G190" s="4" t="s">
        <v>3024</v>
      </c>
      <c r="H190" s="4" t="str">
        <f>VLOOKUP(A190,'Monthly EE List'!A:G,7,0)</f>
        <v>A</v>
      </c>
      <c r="I190" t="s">
        <v>211</v>
      </c>
      <c r="J190" s="5">
        <v>42829</v>
      </c>
      <c r="K190" t="s">
        <v>2716</v>
      </c>
      <c r="L190" s="4" t="str">
        <f t="shared" ca="1" si="2"/>
        <v>X</v>
      </c>
      <c r="M190" s="6" t="str">
        <f>IF(VLOOKUP($C$4,Working!$A$23:$L$52,Working!$F$21,0)="Y",TEXT($C$6,"YYYYMM")&amp;"_"&amp;$E190&amp;"_"&amp;Working!$B$11&amp;Working!$B$12,"")</f>
        <v>201703_VAC02_Top15.xlsx</v>
      </c>
      <c r="N190" s="6" t="str">
        <f>IF(VLOOKUP($C$4,Working!$A$23:$L$52,Working!$I$21,0)="Y",TEXT($C$6,"YYYYMM")&amp;"_"&amp;$E190&amp;"_"&amp;Working!$B$13&amp;Working!$B$14,"")</f>
        <v/>
      </c>
      <c r="O190" s="4"/>
      <c r="P190" s="4"/>
      <c r="Q190" s="41"/>
      <c r="R190" s="41"/>
      <c r="S190" s="41"/>
      <c r="T190" s="41"/>
      <c r="U190" s="4"/>
      <c r="V190" s="4"/>
      <c r="W190" s="4" t="s">
        <v>228</v>
      </c>
      <c r="AS190"/>
    </row>
    <row r="191" spans="1:45" x14ac:dyDescent="0.3">
      <c r="A191" s="44">
        <v>3350</v>
      </c>
      <c r="B191" s="37" t="str">
        <f>VLOOKUP(A191,'Monthly EE List'!A:D,4,0)&amp;" "&amp;VLOOKUP(A191,'Monthly EE List'!A:D,3,0)</f>
        <v>ADAM JONES</v>
      </c>
      <c r="C191" s="38" t="s">
        <v>3778</v>
      </c>
      <c r="D191" s="4" t="s">
        <v>599</v>
      </c>
      <c r="E191" t="s">
        <v>3204</v>
      </c>
      <c r="F191" t="s">
        <v>214</v>
      </c>
      <c r="G191" s="4" t="s">
        <v>3024</v>
      </c>
      <c r="H191" s="4" t="str">
        <f>VLOOKUP(A191,'Monthly EE List'!A:G,7,0)</f>
        <v>A</v>
      </c>
      <c r="I191" t="s">
        <v>211</v>
      </c>
      <c r="J191" s="5">
        <v>42829</v>
      </c>
      <c r="K191" t="s">
        <v>2716</v>
      </c>
      <c r="L191" s="4" t="str">
        <f t="shared" ca="1" si="2"/>
        <v>X</v>
      </c>
      <c r="M191" s="6" t="str">
        <f>IF(VLOOKUP($C$4,Working!$A$23:$L$52,Working!$F$21,0)="Y",TEXT($C$6,"YYYYMM")&amp;"_"&amp;$E191&amp;"_"&amp;Working!$B$11&amp;Working!$B$12,"")</f>
        <v>201703_VAC03_Top15.xlsx</v>
      </c>
      <c r="N191" s="6" t="str">
        <f>IF(VLOOKUP($C$4,Working!$A$23:$L$52,Working!$I$21,0)="Y",TEXT($C$6,"YYYYMM")&amp;"_"&amp;$E191&amp;"_"&amp;Working!$B$13&amp;Working!$B$14,"")</f>
        <v/>
      </c>
      <c r="O191" s="4"/>
      <c r="P191" s="4"/>
      <c r="Q191" s="41"/>
      <c r="R191" s="41"/>
      <c r="S191" s="41"/>
      <c r="T191" s="41"/>
      <c r="U191" s="4"/>
      <c r="V191" s="4"/>
      <c r="W191" s="4" t="s">
        <v>228</v>
      </c>
      <c r="AS191"/>
    </row>
    <row r="192" spans="1:45" x14ac:dyDescent="0.3">
      <c r="A192" s="44">
        <v>3350</v>
      </c>
      <c r="B192" s="37" t="str">
        <f>VLOOKUP(A192,'Monthly EE List'!A:D,4,0)&amp;" "&amp;VLOOKUP(A192,'Monthly EE List'!A:D,3,0)</f>
        <v>ADAM JONES</v>
      </c>
      <c r="C192" s="38" t="s">
        <v>3778</v>
      </c>
      <c r="D192" s="4" t="s">
        <v>599</v>
      </c>
      <c r="E192" t="s">
        <v>214</v>
      </c>
      <c r="F192" t="s">
        <v>214</v>
      </c>
      <c r="G192" s="4" t="s">
        <v>3024</v>
      </c>
      <c r="H192" s="4" t="str">
        <f>VLOOKUP(A192,'Monthly EE List'!A:G,7,0)</f>
        <v>A</v>
      </c>
      <c r="I192" t="s">
        <v>211</v>
      </c>
      <c r="J192" s="5">
        <v>42829</v>
      </c>
      <c r="K192" t="s">
        <v>2716</v>
      </c>
      <c r="L192" s="4" t="str">
        <f t="shared" ca="1" si="2"/>
        <v>X</v>
      </c>
      <c r="M192" s="6" t="str">
        <f>IF(VLOOKUP($C$4,Working!$A$23:$L$52,Working!$F$21,0)="Y",TEXT($C$6,"YYYYMM")&amp;"_"&amp;$E192&amp;"_"&amp;Working!$B$11&amp;Working!$B$12,"")</f>
        <v>201703_VACVR_Top15.xlsx</v>
      </c>
      <c r="N192" s="6" t="str">
        <f>IF(VLOOKUP($C$4,Working!$A$23:$L$52,Working!$I$21,0)="Y",TEXT($C$6,"YYYYMM")&amp;"_"&amp;$E192&amp;"_"&amp;Working!$B$13&amp;Working!$B$14,"")</f>
        <v/>
      </c>
      <c r="O192" s="4"/>
      <c r="P192" s="4"/>
      <c r="Q192" s="41"/>
      <c r="R192" s="41"/>
      <c r="S192" s="41"/>
      <c r="T192" s="41"/>
      <c r="U192" s="4"/>
      <c r="V192" s="4"/>
      <c r="W192" s="4" t="s">
        <v>228</v>
      </c>
      <c r="AS192"/>
    </row>
    <row r="193" spans="1:45" x14ac:dyDescent="0.3">
      <c r="A193" s="44">
        <v>3350</v>
      </c>
      <c r="B193" s="37" t="str">
        <f>VLOOKUP(A193,'Monthly EE List'!A:D,4,0)&amp;" "&amp;VLOOKUP(A193,'Monthly EE List'!A:D,3,0)</f>
        <v>ADAM JONES</v>
      </c>
      <c r="C193" s="38" t="s">
        <v>3778</v>
      </c>
      <c r="D193" s="4" t="s">
        <v>599</v>
      </c>
      <c r="E193" t="s">
        <v>226</v>
      </c>
      <c r="F193" t="s">
        <v>226</v>
      </c>
      <c r="G193" s="4" t="s">
        <v>3024</v>
      </c>
      <c r="H193" s="4" t="str">
        <f>VLOOKUP(A193,'Monthly EE List'!A:G,7,0)</f>
        <v>A</v>
      </c>
      <c r="I193" t="s">
        <v>211</v>
      </c>
      <c r="J193" s="5">
        <v>42829</v>
      </c>
      <c r="K193" t="s">
        <v>2716</v>
      </c>
      <c r="L193" s="4" t="str">
        <f t="shared" ca="1" si="2"/>
        <v>X</v>
      </c>
      <c r="M193" s="6" t="str">
        <f>IF(VLOOKUP($C$4,Working!$A$23:$L$52,Working!$F$21,0)="Y",TEXT($C$6,"YYYYMM")&amp;"_"&amp;$E193&amp;"_"&amp;Working!$B$11&amp;Working!$B$12,"")</f>
        <v>201703_VICTR_Top15.xlsx</v>
      </c>
      <c r="N193" s="6" t="str">
        <f>IF(VLOOKUP($C$4,Working!$A$23:$L$52,Working!$I$21,0)="Y",TEXT($C$6,"YYYYMM")&amp;"_"&amp;$E193&amp;"_"&amp;Working!$B$13&amp;Working!$B$14,"")</f>
        <v/>
      </c>
      <c r="O193" s="4"/>
      <c r="P193" s="4"/>
      <c r="Q193" s="41"/>
      <c r="R193" s="41"/>
      <c r="S193" s="41"/>
      <c r="T193" s="41"/>
      <c r="U193" s="4"/>
      <c r="V193" s="4"/>
      <c r="W193" s="4" t="s">
        <v>228</v>
      </c>
      <c r="AS193"/>
    </row>
    <row r="194" spans="1:45" x14ac:dyDescent="0.3">
      <c r="A194">
        <v>3203</v>
      </c>
      <c r="B194" s="37" t="str">
        <f>VLOOKUP(A194,'Monthly EE List'!A:D,4,0)&amp;" "&amp;VLOOKUP(A194,'Monthly EE List'!A:D,3,0)</f>
        <v>ANNETTE MULLER</v>
      </c>
      <c r="C194" s="38" t="s">
        <v>2496</v>
      </c>
      <c r="D194" s="4" t="s">
        <v>599</v>
      </c>
      <c r="E194" t="s">
        <v>2497</v>
      </c>
      <c r="F194" t="s">
        <v>226</v>
      </c>
      <c r="G194" s="4" t="s">
        <v>142</v>
      </c>
      <c r="H194" s="4" t="str">
        <f>VLOOKUP(A194,'Monthly EE List'!A:G,7,0)</f>
        <v>A</v>
      </c>
      <c r="I194" t="s">
        <v>211</v>
      </c>
      <c r="J194" s="5">
        <v>40945</v>
      </c>
      <c r="K194" t="s">
        <v>147</v>
      </c>
      <c r="L194" s="4" t="str">
        <f t="shared" ca="1" si="2"/>
        <v/>
      </c>
      <c r="M194" s="6" t="str">
        <f>IF(VLOOKUP($C$4,Working!$A$23:$L$52,Working!$F$21,0)="Y",TEXT($C$6,"YYYYMM")&amp;"_"&amp;$E194&amp;"_"&amp;Working!$B$11&amp;Working!$B$12,"")</f>
        <v>201703_WZ1AM_Top15.xlsx</v>
      </c>
      <c r="N194" s="6" t="str">
        <f>IF(VLOOKUP($C$4,Working!$A$23:$L$52,Working!$I$21,0)="Y",TEXT($C$6,"YYYYMM")&amp;"_"&amp;$E194&amp;"_"&amp;Working!$B$13&amp;Working!$B$14,"")</f>
        <v/>
      </c>
      <c r="O194" s="4" t="s">
        <v>228</v>
      </c>
      <c r="P194" s="4" t="s">
        <v>228</v>
      </c>
      <c r="Q194" s="41"/>
      <c r="R194" s="41"/>
      <c r="S194" s="41"/>
      <c r="T194" s="41"/>
      <c r="U194" s="41" t="s">
        <v>228</v>
      </c>
      <c r="V194" s="54"/>
      <c r="AS194"/>
    </row>
    <row r="195" spans="1:45" x14ac:dyDescent="0.3">
      <c r="A195">
        <v>3208</v>
      </c>
      <c r="B195" s="37" t="str">
        <f>VLOOKUP(A195,'Monthly EE List'!A:D,4,0)&amp;" "&amp;VLOOKUP(A195,'Monthly EE List'!A:D,3,0)</f>
        <v>PAUL MACDOUGALL</v>
      </c>
      <c r="C195" s="38" t="s">
        <v>2891</v>
      </c>
      <c r="D195" s="4" t="s">
        <v>599</v>
      </c>
      <c r="E195" s="10">
        <v>40320</v>
      </c>
      <c r="F195" t="s">
        <v>220</v>
      </c>
      <c r="G195" s="4" t="s">
        <v>244</v>
      </c>
      <c r="H195" s="4" t="str">
        <f>VLOOKUP(A195,'Monthly EE List'!A:G,7,0)</f>
        <v>A</v>
      </c>
      <c r="I195" t="s">
        <v>212</v>
      </c>
      <c r="J195" s="5">
        <v>41744</v>
      </c>
      <c r="K195" t="s">
        <v>2665</v>
      </c>
      <c r="L195" s="4" t="str">
        <f t="shared" ca="1" si="2"/>
        <v/>
      </c>
      <c r="M195" s="6" t="str">
        <f>IF(VLOOKUP($C$4,Working!$A$23:$L$52,Working!$F$21,0)="Y",TEXT($C$6,"YYYYMM")&amp;"_"&amp;$E195&amp;"_"&amp;Working!$B$11&amp;Working!$B$12,"")</f>
        <v>201703_40320_Top15.xlsx</v>
      </c>
      <c r="N195" s="6" t="str">
        <f>IF(VLOOKUP($C$4,Working!$A$23:$L$52,Working!$I$21,0)="Y",TEXT($C$6,"YYYYMM")&amp;"_"&amp;$E195&amp;"_"&amp;Working!$B$13&amp;Working!$B$14,"")</f>
        <v/>
      </c>
      <c r="O195" s="4"/>
      <c r="P195" s="4"/>
      <c r="Q195" s="41" t="s">
        <v>228</v>
      </c>
      <c r="R195" s="41"/>
      <c r="S195" s="41"/>
      <c r="T195" s="41"/>
      <c r="U195" s="41"/>
      <c r="V195" s="4"/>
      <c r="AS195"/>
    </row>
    <row r="196" spans="1:45" x14ac:dyDescent="0.3">
      <c r="A196">
        <v>3214</v>
      </c>
      <c r="B196" s="37" t="str">
        <f>VLOOKUP(A196,'Monthly EE List'!A:D,4,0)&amp;" "&amp;VLOOKUP(A196,'Monthly EE List'!A:D,3,0)</f>
        <v>JASON POLNAU</v>
      </c>
      <c r="C196" s="38" t="s">
        <v>2642</v>
      </c>
      <c r="D196" s="4" t="s">
        <v>599</v>
      </c>
      <c r="E196" s="10">
        <v>60426</v>
      </c>
      <c r="F196" t="s">
        <v>214</v>
      </c>
      <c r="G196" s="4" t="s">
        <v>244</v>
      </c>
      <c r="H196" s="4" t="str">
        <f>VLOOKUP(A196,'Monthly EE List'!A:G,7,0)</f>
        <v>A</v>
      </c>
      <c r="I196" t="s">
        <v>212</v>
      </c>
      <c r="J196" s="5">
        <v>41379</v>
      </c>
      <c r="K196" t="s">
        <v>567</v>
      </c>
      <c r="L196" s="4" t="str">
        <f t="shared" ca="1" si="2"/>
        <v/>
      </c>
      <c r="M196" s="6" t="str">
        <f>IF(VLOOKUP($C$4,Working!$A$23:$L$52,Working!$F$21,0)="Y",TEXT($C$6,"YYYYMM")&amp;"_"&amp;$E196&amp;"_"&amp;Working!$B$11&amp;Working!$B$12,"")</f>
        <v>201703_60426_Top15.xlsx</v>
      </c>
      <c r="N196" s="6" t="str">
        <f>IF(VLOOKUP($C$4,Working!$A$23:$L$52,Working!$I$21,0)="Y",TEXT($C$6,"YYYYMM")&amp;"_"&amp;$E196&amp;"_"&amp;Working!$B$13&amp;Working!$B$14,"")</f>
        <v/>
      </c>
      <c r="O196" s="4"/>
      <c r="P196" s="4"/>
      <c r="Q196" s="41" t="s">
        <v>228</v>
      </c>
      <c r="R196" s="41"/>
      <c r="S196" s="41"/>
      <c r="T196" s="41"/>
      <c r="U196" s="41"/>
      <c r="V196" s="4"/>
      <c r="AS196"/>
    </row>
    <row r="197" spans="1:45" x14ac:dyDescent="0.3">
      <c r="A197">
        <v>3215</v>
      </c>
      <c r="B197" s="37" t="str">
        <f>VLOOKUP(A197,'Monthly EE List'!A:D,4,0)&amp;" "&amp;VLOOKUP(A197,'Monthly EE List'!A:D,3,0)</f>
        <v>JANE WANSTALL</v>
      </c>
      <c r="C197" s="38" t="s">
        <v>2573</v>
      </c>
      <c r="D197" s="4" t="s">
        <v>599</v>
      </c>
      <c r="E197" t="s">
        <v>2582</v>
      </c>
      <c r="F197" t="s">
        <v>226</v>
      </c>
      <c r="G197" s="4" t="s">
        <v>142</v>
      </c>
      <c r="H197" s="4" t="str">
        <f>VLOOKUP(A197,'Monthly EE List'!A:G,7,0)</f>
        <v>A</v>
      </c>
      <c r="I197" t="s">
        <v>211</v>
      </c>
      <c r="J197" s="5">
        <v>41029</v>
      </c>
      <c r="K197" t="s">
        <v>147</v>
      </c>
      <c r="L197" s="4" t="str">
        <f t="shared" ca="1" si="2"/>
        <v/>
      </c>
      <c r="M197" s="6" t="str">
        <f>IF(VLOOKUP($C$4,Working!$A$23:$L$52,Working!$F$21,0)="Y",TEXT($C$6,"YYYYMM")&amp;"_"&amp;$E197&amp;"_"&amp;Working!$B$11&amp;Working!$B$12,"")</f>
        <v>201703_WZ1JW_Top15.xlsx</v>
      </c>
      <c r="N197" s="6" t="str">
        <f>IF(VLOOKUP($C$4,Working!$A$23:$L$52,Working!$I$21,0)="Y",TEXT($C$6,"YYYYMM")&amp;"_"&amp;$E197&amp;"_"&amp;Working!$B$13&amp;Working!$B$14,"")</f>
        <v/>
      </c>
      <c r="O197" s="4" t="s">
        <v>228</v>
      </c>
      <c r="P197" s="4" t="s">
        <v>228</v>
      </c>
      <c r="Q197" s="41"/>
      <c r="R197" s="41"/>
      <c r="S197" s="41"/>
      <c r="T197" s="41"/>
      <c r="U197" s="41" t="s">
        <v>228</v>
      </c>
      <c r="V197" s="54"/>
      <c r="AS197"/>
    </row>
    <row r="198" spans="1:45" x14ac:dyDescent="0.3">
      <c r="A198">
        <v>3218</v>
      </c>
      <c r="B198" s="37" t="str">
        <f>VLOOKUP(A198,'Monthly EE List'!A:D,4,0)&amp;" "&amp;VLOOKUP(A198,'Monthly EE List'!A:D,3,0)</f>
        <v>MICHELLE HILLABY</v>
      </c>
      <c r="C198" s="38" t="s">
        <v>2618</v>
      </c>
      <c r="D198" s="4" t="s">
        <v>599</v>
      </c>
      <c r="E198" t="s">
        <v>2619</v>
      </c>
      <c r="F198" t="s">
        <v>214</v>
      </c>
      <c r="G198" s="4" t="s">
        <v>142</v>
      </c>
      <c r="H198" s="4" t="str">
        <f>VLOOKUP(A198,'Monthly EE List'!A:G,7,0)</f>
        <v>A</v>
      </c>
      <c r="I198" t="s">
        <v>211</v>
      </c>
      <c r="J198" s="5">
        <v>41093</v>
      </c>
      <c r="K198" t="s">
        <v>147</v>
      </c>
      <c r="L198" s="4" t="str">
        <f t="shared" ca="1" si="2"/>
        <v/>
      </c>
      <c r="M198" s="6" t="str">
        <f>IF(VLOOKUP($C$4,Working!$A$23:$L$52,Working!$F$21,0)="Y",TEXT($C$6,"YYYYMM")&amp;"_"&amp;$E198&amp;"_"&amp;Working!$B$11&amp;Working!$B$12,"")</f>
        <v>201703_WZ1MH_Top15.xlsx</v>
      </c>
      <c r="N198" s="6" t="str">
        <f>IF(VLOOKUP($C$4,Working!$A$23:$L$52,Working!$I$21,0)="Y",TEXT($C$6,"YYYYMM")&amp;"_"&amp;$E198&amp;"_"&amp;Working!$B$13&amp;Working!$B$14,"")</f>
        <v/>
      </c>
      <c r="O198" s="4" t="s">
        <v>228</v>
      </c>
      <c r="P198" s="4" t="s">
        <v>228</v>
      </c>
      <c r="Q198" s="41"/>
      <c r="R198" s="41"/>
      <c r="S198" s="41"/>
      <c r="T198" s="41"/>
      <c r="U198" s="41" t="s">
        <v>228</v>
      </c>
      <c r="V198" s="54"/>
      <c r="AS198"/>
    </row>
    <row r="199" spans="1:45" x14ac:dyDescent="0.3">
      <c r="A199">
        <v>3218</v>
      </c>
      <c r="B199" s="37" t="str">
        <f>VLOOKUP(A199,'Monthly EE List'!A:D,4,0)&amp;" "&amp;VLOOKUP(A199,'Monthly EE List'!A:D,3,0)</f>
        <v>MICHELLE HILLABY</v>
      </c>
      <c r="C199" s="38" t="s">
        <v>2618</v>
      </c>
      <c r="D199" s="4" t="s">
        <v>599</v>
      </c>
      <c r="E199" t="s">
        <v>3864</v>
      </c>
      <c r="F199" t="s">
        <v>223</v>
      </c>
      <c r="G199" s="4" t="s">
        <v>142</v>
      </c>
      <c r="H199" s="4" t="str">
        <f>VLOOKUP(A199,'Monthly EE List'!A:G,7,0)</f>
        <v>A</v>
      </c>
      <c r="I199" t="s">
        <v>211</v>
      </c>
      <c r="J199" s="5">
        <v>42814</v>
      </c>
      <c r="K199" t="s">
        <v>3861</v>
      </c>
      <c r="L199" s="4" t="str">
        <f t="shared" ref="L199" ca="1" si="5">IF(OFFSET(N199,,$C$4)="X","X","")</f>
        <v/>
      </c>
      <c r="M199" s="6" t="str">
        <f>IF(VLOOKUP($C$4,Working!$A$23:$L$52,Working!$F$21,0)="Y",TEXT($C$6,"YYYYMM")&amp;"_"&amp;$E199&amp;"_"&amp;Working!$B$11&amp;Working!$B$12,"")</f>
        <v>201703_WZ1M2_Top15.xlsx</v>
      </c>
      <c r="N199" s="6" t="str">
        <f>IF(VLOOKUP($C$4,Working!$A$23:$L$52,Working!$I$21,0)="Y",TEXT($C$6,"YYYYMM")&amp;"_"&amp;$E199&amp;"_"&amp;Working!$B$13&amp;Working!$B$14,"")</f>
        <v/>
      </c>
      <c r="O199" s="4" t="s">
        <v>228</v>
      </c>
      <c r="P199" s="54"/>
      <c r="Q199" s="41"/>
      <c r="R199" s="41"/>
      <c r="S199" s="41"/>
      <c r="T199" s="41"/>
      <c r="U199" s="41" t="s">
        <v>228</v>
      </c>
      <c r="V199" s="54"/>
      <c r="AS199"/>
    </row>
    <row r="200" spans="1:45" x14ac:dyDescent="0.3">
      <c r="A200">
        <v>3219</v>
      </c>
      <c r="B200" s="37" t="str">
        <f>VLOOKUP(A200,'Monthly EE List'!A:D,4,0)&amp;" "&amp;VLOOKUP(A200,'Monthly EE List'!A:D,3,0)</f>
        <v>ALEX SZOSTAKOWSKI</v>
      </c>
      <c r="C200" s="38" t="s">
        <v>2892</v>
      </c>
      <c r="D200" s="4" t="s">
        <v>599</v>
      </c>
      <c r="E200" s="10">
        <v>40322</v>
      </c>
      <c r="F200" t="s">
        <v>223</v>
      </c>
      <c r="G200" s="4" t="s">
        <v>244</v>
      </c>
      <c r="H200" s="4" t="str">
        <f>VLOOKUP(A200,'Monthly EE List'!A:G,7,0)</f>
        <v>A</v>
      </c>
      <c r="I200" t="s">
        <v>212</v>
      </c>
      <c r="J200" s="5">
        <v>41774</v>
      </c>
      <c r="K200" t="s">
        <v>567</v>
      </c>
      <c r="L200" s="4" t="str">
        <f t="shared" ca="1" si="2"/>
        <v/>
      </c>
      <c r="M200" s="6" t="str">
        <f>IF(VLOOKUP($C$4,Working!$A$23:$L$52,Working!$F$21,0)="Y",TEXT($C$6,"YYYYMM")&amp;"_"&amp;$E200&amp;"_"&amp;Working!$B$11&amp;Working!$B$12,"")</f>
        <v>201703_40322_Top15.xlsx</v>
      </c>
      <c r="N200" s="6" t="str">
        <f>IF(VLOOKUP($C$4,Working!$A$23:$L$52,Working!$I$21,0)="Y",TEXT($C$6,"YYYYMM")&amp;"_"&amp;$E200&amp;"_"&amp;Working!$B$13&amp;Working!$B$14,"")</f>
        <v/>
      </c>
      <c r="O200" s="4"/>
      <c r="P200" s="4"/>
      <c r="Q200" s="41" t="s">
        <v>228</v>
      </c>
      <c r="R200" s="41"/>
      <c r="S200" s="41"/>
      <c r="T200" s="41"/>
      <c r="U200" s="41"/>
      <c r="V200" s="4"/>
      <c r="AS200"/>
    </row>
    <row r="201" spans="1:45" x14ac:dyDescent="0.3">
      <c r="A201">
        <v>3221</v>
      </c>
      <c r="B201" s="37" t="str">
        <f>VLOOKUP(A201,'Monthly EE List'!A:D,4,0)&amp;" "&amp;VLOOKUP(A201,'Monthly EE List'!A:D,3,0)</f>
        <v>STEPHEN FORSTER</v>
      </c>
      <c r="C201" s="38" t="s">
        <v>2639</v>
      </c>
      <c r="D201" s="4" t="s">
        <v>599</v>
      </c>
      <c r="E201" s="10">
        <v>60427</v>
      </c>
      <c r="F201" t="s">
        <v>214</v>
      </c>
      <c r="G201" s="4" t="s">
        <v>244</v>
      </c>
      <c r="H201" s="4" t="str">
        <f>VLOOKUP(A201,'Monthly EE List'!A:G,7,0)</f>
        <v>A</v>
      </c>
      <c r="I201" t="s">
        <v>212</v>
      </c>
      <c r="J201" s="5">
        <v>42444</v>
      </c>
      <c r="K201" t="s">
        <v>2953</v>
      </c>
      <c r="L201" s="4" t="str">
        <f t="shared" ca="1" si="2"/>
        <v/>
      </c>
      <c r="M201" s="6" t="str">
        <f>IF(VLOOKUP($C$4,Working!$A$23:$L$52,Working!$F$21,0)="Y",TEXT($C$6,"YYYYMM")&amp;"_"&amp;$E201&amp;"_"&amp;Working!$B$11&amp;Working!$B$12,"")</f>
        <v>201703_60427_Top15.xlsx</v>
      </c>
      <c r="N201" s="6" t="str">
        <f>IF(VLOOKUP($C$4,Working!$A$23:$L$52,Working!$I$21,0)="Y",TEXT($C$6,"YYYYMM")&amp;"_"&amp;$E201&amp;"_"&amp;Working!$B$13&amp;Working!$B$14,"")</f>
        <v/>
      </c>
      <c r="O201" s="4"/>
      <c r="P201" s="4"/>
      <c r="Q201" s="53"/>
      <c r="R201" s="41"/>
      <c r="S201" s="41"/>
      <c r="T201" s="41"/>
      <c r="U201" s="41"/>
      <c r="V201" s="4"/>
      <c r="AS201"/>
    </row>
    <row r="202" spans="1:45" x14ac:dyDescent="0.3">
      <c r="A202">
        <v>3223</v>
      </c>
      <c r="B202" s="37" t="str">
        <f>VLOOKUP(A202,'Monthly EE List'!A:D,4,0)&amp;" "&amp;VLOOKUP(A202,'Monthly EE List'!A:D,3,0)</f>
        <v>IAN DOYLE</v>
      </c>
      <c r="C202" s="38" t="s">
        <v>2660</v>
      </c>
      <c r="D202" s="4" t="s">
        <v>599</v>
      </c>
      <c r="E202" s="10">
        <v>40323</v>
      </c>
      <c r="F202" t="s">
        <v>223</v>
      </c>
      <c r="G202" s="4" t="s">
        <v>244</v>
      </c>
      <c r="H202" s="4" t="str">
        <f>VLOOKUP(A202,'Monthly EE List'!A:G,7,0)</f>
        <v>A</v>
      </c>
      <c r="I202" t="s">
        <v>211</v>
      </c>
      <c r="J202" s="5">
        <v>41129</v>
      </c>
      <c r="K202" t="s">
        <v>551</v>
      </c>
      <c r="L202" s="4" t="str">
        <f t="shared" ca="1" si="2"/>
        <v/>
      </c>
      <c r="M202" s="6" t="str">
        <f>IF(VLOOKUP($C$4,Working!$A$23:$L$52,Working!$F$21,0)="Y",TEXT($C$6,"YYYYMM")&amp;"_"&amp;$E202&amp;"_"&amp;Working!$B$11&amp;Working!$B$12,"")</f>
        <v>201703_40323_Top15.xlsx</v>
      </c>
      <c r="N202" s="6" t="str">
        <f>IF(VLOOKUP($C$4,Working!$A$23:$L$52,Working!$I$21,0)="Y",TEXT($C$6,"YYYYMM")&amp;"_"&amp;$E202&amp;"_"&amp;Working!$B$13&amp;Working!$B$14,"")</f>
        <v/>
      </c>
      <c r="O202" s="4"/>
      <c r="P202" s="4"/>
      <c r="Q202" s="41"/>
      <c r="R202" s="41"/>
      <c r="S202" s="41"/>
      <c r="T202" s="41"/>
      <c r="U202" s="41"/>
      <c r="V202" s="4"/>
      <c r="AS202"/>
    </row>
    <row r="203" spans="1:45" x14ac:dyDescent="0.3">
      <c r="A203">
        <v>3224</v>
      </c>
      <c r="B203" s="37" t="str">
        <f>VLOOKUP(A203,'Monthly EE List'!A:D,4,0)&amp;" "&amp;VLOOKUP(A203,'Monthly EE List'!A:D,3,0)</f>
        <v>DANA NOREEN</v>
      </c>
      <c r="C203" s="38" t="s">
        <v>2669</v>
      </c>
      <c r="D203" s="4" t="s">
        <v>599</v>
      </c>
      <c r="E203" s="10">
        <v>40324</v>
      </c>
      <c r="F203" t="s">
        <v>214</v>
      </c>
      <c r="G203" s="4" t="s">
        <v>244</v>
      </c>
      <c r="H203" s="4" t="str">
        <f>VLOOKUP(A203,'Monthly EE List'!A:G,7,0)</f>
        <v>A</v>
      </c>
      <c r="I203" t="s">
        <v>212</v>
      </c>
      <c r="J203" s="5">
        <v>41501</v>
      </c>
      <c r="K203" t="s">
        <v>2953</v>
      </c>
      <c r="L203" s="4" t="str">
        <f t="shared" ca="1" si="2"/>
        <v/>
      </c>
      <c r="M203" s="6" t="str">
        <f>IF(VLOOKUP($C$4,Working!$A$23:$L$52,Working!$F$21,0)="Y",TEXT($C$6,"YYYYMM")&amp;"_"&amp;$E203&amp;"_"&amp;Working!$B$11&amp;Working!$B$12,"")</f>
        <v>201703_40324_Top15.xlsx</v>
      </c>
      <c r="N203" s="6" t="str">
        <f>IF(VLOOKUP($C$4,Working!$A$23:$L$52,Working!$I$21,0)="Y",TEXT($C$6,"YYYYMM")&amp;"_"&amp;$E203&amp;"_"&amp;Working!$B$13&amp;Working!$B$14,"")</f>
        <v/>
      </c>
      <c r="O203" s="4"/>
      <c r="P203" s="4"/>
      <c r="Q203" s="53"/>
      <c r="R203" s="41"/>
      <c r="S203" s="41"/>
      <c r="T203" s="41"/>
      <c r="U203" s="41"/>
      <c r="V203" s="4"/>
      <c r="AS203"/>
    </row>
    <row r="204" spans="1:45" x14ac:dyDescent="0.3">
      <c r="A204">
        <v>3230</v>
      </c>
      <c r="B204" s="37" t="str">
        <f>VLOOKUP(A204,'Monthly EE List'!A:D,4,0)&amp;" "&amp;VLOOKUP(A204,'Monthly EE List'!A:D,3,0)</f>
        <v>GREG VANDERMEER</v>
      </c>
      <c r="C204" s="38" t="s">
        <v>2698</v>
      </c>
      <c r="D204" s="4" t="s">
        <v>599</v>
      </c>
      <c r="E204" s="10">
        <v>40325</v>
      </c>
      <c r="F204" t="s">
        <v>223</v>
      </c>
      <c r="G204" s="4" t="s">
        <v>244</v>
      </c>
      <c r="H204" s="4" t="str">
        <f>VLOOKUP(A204,'Monthly EE List'!A:G,7,0)</f>
        <v>A</v>
      </c>
      <c r="I204" t="s">
        <v>211</v>
      </c>
      <c r="J204" s="5">
        <v>41176</v>
      </c>
      <c r="K204" t="s">
        <v>551</v>
      </c>
      <c r="L204" s="4" t="str">
        <f t="shared" ca="1" si="2"/>
        <v/>
      </c>
      <c r="M204" s="6" t="str">
        <f>IF(VLOOKUP($C$4,Working!$A$23:$L$52,Working!$F$21,0)="Y",TEXT($C$6,"YYYYMM")&amp;"_"&amp;$E204&amp;"_"&amp;Working!$B$11&amp;Working!$B$12,"")</f>
        <v>201703_40325_Top15.xlsx</v>
      </c>
      <c r="N204" s="6" t="str">
        <f>IF(VLOOKUP($C$4,Working!$A$23:$L$52,Working!$I$21,0)="Y",TEXT($C$6,"YYYYMM")&amp;"_"&amp;$E204&amp;"_"&amp;Working!$B$13&amp;Working!$B$14,"")</f>
        <v/>
      </c>
      <c r="O204" s="4"/>
      <c r="P204" s="4"/>
      <c r="Q204" s="41"/>
      <c r="R204" s="41"/>
      <c r="S204" s="41"/>
      <c r="T204" s="41"/>
      <c r="U204" s="41"/>
      <c r="V204" s="4"/>
      <c r="AS204"/>
    </row>
    <row r="205" spans="1:45" x14ac:dyDescent="0.3">
      <c r="A205">
        <v>3232</v>
      </c>
      <c r="B205" s="37" t="str">
        <f>VLOOKUP(A205,'Monthly EE List'!A:D,4,0)&amp;" "&amp;VLOOKUP(A205,'Monthly EE List'!A:D,3,0)</f>
        <v>JOHN LUONG</v>
      </c>
      <c r="C205" s="38" t="s">
        <v>2699</v>
      </c>
      <c r="D205" s="4" t="s">
        <v>599</v>
      </c>
      <c r="E205" s="10">
        <v>78015</v>
      </c>
      <c r="F205" t="s">
        <v>225</v>
      </c>
      <c r="G205" s="4" t="s">
        <v>244</v>
      </c>
      <c r="H205" s="4" t="str">
        <f>VLOOKUP(A205,'Monthly EE List'!A:G,7,0)</f>
        <v>A</v>
      </c>
      <c r="I205" t="s">
        <v>211</v>
      </c>
      <c r="J205" s="5">
        <v>41176</v>
      </c>
      <c r="K205" t="s">
        <v>551</v>
      </c>
      <c r="L205" s="4" t="str">
        <f t="shared" ca="1" si="2"/>
        <v/>
      </c>
      <c r="M205" s="6" t="str">
        <f>IF(VLOOKUP($C$4,Working!$A$23:$L$52,Working!$F$21,0)="Y",TEXT($C$6,"YYYYMM")&amp;"_"&amp;$E205&amp;"_"&amp;Working!$B$11&amp;Working!$B$12,"")</f>
        <v>201703_78015_Top15.xlsx</v>
      </c>
      <c r="N205" s="6" t="str">
        <f>IF(VLOOKUP($C$4,Working!$A$23:$L$52,Working!$I$21,0)="Y",TEXT($C$6,"YYYYMM")&amp;"_"&amp;$E205&amp;"_"&amp;Working!$B$13&amp;Working!$B$14,"")</f>
        <v/>
      </c>
      <c r="O205" s="4"/>
      <c r="P205" s="4"/>
      <c r="Q205" s="41"/>
      <c r="R205" s="41"/>
      <c r="S205" s="41"/>
      <c r="T205" s="41"/>
      <c r="U205" s="41"/>
      <c r="V205" s="4"/>
      <c r="AS205"/>
    </row>
    <row r="206" spans="1:45" x14ac:dyDescent="0.3">
      <c r="A206">
        <v>3235</v>
      </c>
      <c r="B206" s="46" t="str">
        <f>VLOOKUP(A206,'Monthly EE List'!A:D,4,0)&amp;" "&amp;VLOOKUP(A206,'Monthly EE List'!A:D,3,0)</f>
        <v>JOHN GOODWIN</v>
      </c>
      <c r="C206" s="38" t="s">
        <v>2787</v>
      </c>
      <c r="D206" s="4" t="s">
        <v>599</v>
      </c>
      <c r="E206" s="10">
        <v>30613</v>
      </c>
      <c r="F206" t="s">
        <v>224</v>
      </c>
      <c r="G206" s="4" t="s">
        <v>244</v>
      </c>
      <c r="H206" s="4" t="str">
        <f>VLOOKUP(A206,'Monthly EE List'!A:G,7,0)</f>
        <v>A</v>
      </c>
      <c r="I206" t="s">
        <v>211</v>
      </c>
      <c r="J206" s="5">
        <v>41260</v>
      </c>
      <c r="K206" t="s">
        <v>551</v>
      </c>
      <c r="L206" s="4" t="str">
        <f t="shared" ca="1" si="2"/>
        <v/>
      </c>
      <c r="M206" s="6" t="str">
        <f>IF(VLOOKUP($C$4,Working!$A$23:$L$52,Working!$F$21,0)="Y",TEXT($C$6,"YYYYMM")&amp;"_"&amp;$E206&amp;"_"&amp;Working!$B$11&amp;Working!$B$12,"")</f>
        <v>201703_30613_Top15.xlsx</v>
      </c>
      <c r="N206" s="6" t="str">
        <f>IF(VLOOKUP($C$4,Working!$A$23:$L$52,Working!$I$21,0)="Y",TEXT($C$6,"YYYYMM")&amp;"_"&amp;$E206&amp;"_"&amp;Working!$B$13&amp;Working!$B$14,"")</f>
        <v/>
      </c>
      <c r="O206" s="4"/>
      <c r="P206" s="4"/>
      <c r="Q206" s="41" t="s">
        <v>228</v>
      </c>
      <c r="R206" s="41"/>
      <c r="S206" s="41"/>
      <c r="T206" s="41"/>
      <c r="U206" s="41"/>
      <c r="V206" s="4"/>
      <c r="AS206"/>
    </row>
    <row r="207" spans="1:45" x14ac:dyDescent="0.3">
      <c r="A207">
        <v>3238</v>
      </c>
      <c r="B207" s="37" t="str">
        <f>VLOOKUP(A207,'Monthly EE List'!A:D,4,0)&amp;" "&amp;VLOOKUP(A207,'Monthly EE List'!A:D,3,0)</f>
        <v>CORY SHUMILA</v>
      </c>
      <c r="C207" s="38" t="s">
        <v>2740</v>
      </c>
      <c r="D207" s="4" t="s">
        <v>599</v>
      </c>
      <c r="E207" s="10">
        <v>20414</v>
      </c>
      <c r="F207" t="s">
        <v>216</v>
      </c>
      <c r="G207" s="4" t="s">
        <v>244</v>
      </c>
      <c r="H207" s="4" t="str">
        <f>VLOOKUP(A207,'Monthly EE List'!A:G,7,0)</f>
        <v>A</v>
      </c>
      <c r="I207" t="s">
        <v>211</v>
      </c>
      <c r="J207" s="5">
        <v>41207</v>
      </c>
      <c r="K207" t="s">
        <v>551</v>
      </c>
      <c r="L207" s="4" t="str">
        <f t="shared" ref="L207:L269" ca="1" si="6">IF(OFFSET(N207,,$C$4)="X","X","")</f>
        <v/>
      </c>
      <c r="M207" s="6" t="str">
        <f>IF(VLOOKUP($C$4,Working!$A$23:$L$52,Working!$F$21,0)="Y",TEXT($C$6,"YYYYMM")&amp;"_"&amp;$E207&amp;"_"&amp;Working!$B$11&amp;Working!$B$12,"")</f>
        <v>201703_20414_Top15.xlsx</v>
      </c>
      <c r="N207" s="6" t="str">
        <f>IF(VLOOKUP($C$4,Working!$A$23:$L$52,Working!$I$21,0)="Y",TEXT($C$6,"YYYYMM")&amp;"_"&amp;$E207&amp;"_"&amp;Working!$B$13&amp;Working!$B$14,"")</f>
        <v/>
      </c>
      <c r="O207" s="4"/>
      <c r="P207" s="4"/>
      <c r="Q207" s="41" t="s">
        <v>228</v>
      </c>
      <c r="R207" s="41"/>
      <c r="S207" s="41"/>
      <c r="T207" s="41"/>
      <c r="U207" s="41"/>
      <c r="V207" s="4"/>
      <c r="AS207"/>
    </row>
    <row r="208" spans="1:45" x14ac:dyDescent="0.3">
      <c r="A208">
        <v>3239</v>
      </c>
      <c r="B208" s="46" t="str">
        <f>VLOOKUP(A208,'Monthly EE List'!A:D,4,0)&amp;" "&amp;VLOOKUP(A208,'Monthly EE List'!A:D,3,0)</f>
        <v>ROBERT HINKS</v>
      </c>
      <c r="C208" s="38" t="s">
        <v>2788</v>
      </c>
      <c r="D208" s="4" t="s">
        <v>599</v>
      </c>
      <c r="E208" s="10">
        <v>30613</v>
      </c>
      <c r="F208" t="s">
        <v>224</v>
      </c>
      <c r="G208" s="4" t="s">
        <v>244</v>
      </c>
      <c r="H208" s="4" t="str">
        <f>VLOOKUP(A208,'Monthly EE List'!A:G,7,0)</f>
        <v>A</v>
      </c>
      <c r="I208" t="s">
        <v>211</v>
      </c>
      <c r="J208" s="5">
        <v>41260</v>
      </c>
      <c r="K208" t="s">
        <v>551</v>
      </c>
      <c r="L208" s="4" t="str">
        <f t="shared" ca="1" si="6"/>
        <v/>
      </c>
      <c r="M208" s="6" t="str">
        <f>IF(VLOOKUP($C$4,Working!$A$23:$L$52,Working!$F$21,0)="Y",TEXT($C$6,"YYYYMM")&amp;"_"&amp;$E208&amp;"_"&amp;Working!$B$11&amp;Working!$B$12,"")</f>
        <v>201703_30613_Top15.xlsx</v>
      </c>
      <c r="N208" s="6" t="str">
        <f>IF(VLOOKUP($C$4,Working!$A$23:$L$52,Working!$I$21,0)="Y",TEXT($C$6,"YYYYMM")&amp;"_"&amp;$E208&amp;"_"&amp;Working!$B$13&amp;Working!$B$14,"")</f>
        <v/>
      </c>
      <c r="O208" s="4"/>
      <c r="P208" s="4"/>
      <c r="Q208" s="41"/>
      <c r="R208" s="41"/>
      <c r="S208" s="41"/>
      <c r="T208" s="41"/>
      <c r="U208" s="41"/>
      <c r="V208" s="4"/>
      <c r="AS208"/>
    </row>
    <row r="209" spans="1:45" x14ac:dyDescent="0.3">
      <c r="A209">
        <v>3244</v>
      </c>
      <c r="B209" s="37" t="str">
        <f>VLOOKUP(A209,'Monthly EE List'!A:D,4,0)&amp;" "&amp;VLOOKUP(A209,'Monthly EE List'!A:D,3,0)</f>
        <v>TYLER MCCLENDON</v>
      </c>
      <c r="C209" s="38" t="s">
        <v>2868</v>
      </c>
      <c r="D209" s="4" t="s">
        <v>599</v>
      </c>
      <c r="E209" s="10" t="s">
        <v>2869</v>
      </c>
      <c r="F209" t="s">
        <v>214</v>
      </c>
      <c r="G209" s="4" t="s">
        <v>142</v>
      </c>
      <c r="H209" s="4" t="str">
        <f>VLOOKUP(A209,'Monthly EE List'!A:G,7,0)</f>
        <v>A</v>
      </c>
      <c r="I209" t="s">
        <v>212</v>
      </c>
      <c r="J209" s="5">
        <v>41774</v>
      </c>
      <c r="K209" t="s">
        <v>567</v>
      </c>
      <c r="L209" s="4" t="str">
        <f t="shared" ca="1" si="6"/>
        <v/>
      </c>
      <c r="M209" s="6" t="str">
        <f>IF(VLOOKUP($C$4,Working!$A$23:$L$52,Working!$F$21,0)="Y",TEXT($C$6,"YYYYMM")&amp;"_"&amp;$E209&amp;"_"&amp;Working!$B$11&amp;Working!$B$12,"")</f>
        <v>201703_WZ1TM_Top15.xlsx</v>
      </c>
      <c r="N209" s="6" t="str">
        <f>IF(VLOOKUP($C$4,Working!$A$23:$L$52,Working!$I$21,0)="Y",TEXT($C$6,"YYYYMM")&amp;"_"&amp;$E209&amp;"_"&amp;Working!$B$13&amp;Working!$B$14,"")</f>
        <v/>
      </c>
      <c r="O209" s="4" t="s">
        <v>228</v>
      </c>
      <c r="P209" s="4" t="s">
        <v>228</v>
      </c>
      <c r="Q209" s="41"/>
      <c r="R209" s="41"/>
      <c r="S209" s="41"/>
      <c r="T209" s="41"/>
      <c r="U209" s="41" t="s">
        <v>228</v>
      </c>
      <c r="V209" s="4"/>
      <c r="AS209"/>
    </row>
    <row r="210" spans="1:45" x14ac:dyDescent="0.3">
      <c r="A210">
        <v>3244</v>
      </c>
      <c r="B210" s="37" t="str">
        <f>VLOOKUP(A210,'Monthly EE List'!A:D,4,0)&amp;" "&amp;VLOOKUP(A210,'Monthly EE List'!A:D,3,0)</f>
        <v>TYLER MCCLENDON</v>
      </c>
      <c r="C210" s="38" t="s">
        <v>2868</v>
      </c>
      <c r="D210" s="4" t="s">
        <v>599</v>
      </c>
      <c r="E210" s="10" t="s">
        <v>3601</v>
      </c>
      <c r="F210" t="s">
        <v>225</v>
      </c>
      <c r="G210" s="4" t="s">
        <v>142</v>
      </c>
      <c r="H210" s="4" t="str">
        <f>VLOOKUP(A210,'Monthly EE List'!A:G,7,0)</f>
        <v>A</v>
      </c>
      <c r="I210" t="s">
        <v>211</v>
      </c>
      <c r="J210" s="5">
        <v>42359</v>
      </c>
      <c r="K210" t="s">
        <v>2504</v>
      </c>
      <c r="L210" s="4" t="str">
        <f t="shared" ca="1" si="6"/>
        <v/>
      </c>
      <c r="M210" s="6" t="str">
        <f>IF(VLOOKUP($C$4,Working!$A$23:$L$52,Working!$F$21,0)="Y",TEXT($C$6,"YYYYMM")&amp;"_"&amp;$E210&amp;"_"&amp;Working!$B$11&amp;Working!$B$12,"")</f>
        <v>201703_WZ1T2_Top15.xlsx</v>
      </c>
      <c r="N210" s="6" t="str">
        <f>IF(VLOOKUP($C$4,Working!$A$23:$L$52,Working!$I$21,0)="Y",TEXT($C$6,"YYYYMM")&amp;"_"&amp;$E210&amp;"_"&amp;Working!$B$13&amp;Working!$B$14,"")</f>
        <v/>
      </c>
      <c r="O210" s="4" t="s">
        <v>228</v>
      </c>
      <c r="P210" s="54"/>
      <c r="Q210" s="41"/>
      <c r="R210" s="41"/>
      <c r="S210" s="41"/>
      <c r="T210" s="41"/>
      <c r="U210" s="41" t="s">
        <v>228</v>
      </c>
      <c r="V210" s="4"/>
      <c r="AS210"/>
    </row>
    <row r="211" spans="1:45" x14ac:dyDescent="0.3">
      <c r="A211">
        <v>3247</v>
      </c>
      <c r="B211" s="37" t="str">
        <f>VLOOKUP(A211,'Monthly EE List'!A:D,4,0)&amp;" "&amp;VLOOKUP(A211,'Monthly EE List'!A:D,3,0)</f>
        <v>ALMAYMOON MAWJI</v>
      </c>
      <c r="C211" s="38" t="s">
        <v>2893</v>
      </c>
      <c r="D211" s="4" t="s">
        <v>599</v>
      </c>
      <c r="E211" s="10" t="s">
        <v>2894</v>
      </c>
      <c r="F211" t="s">
        <v>223</v>
      </c>
      <c r="G211" s="4" t="s">
        <v>142</v>
      </c>
      <c r="H211" s="4" t="str">
        <f>VLOOKUP(A211,'Monthly EE List'!A:G,7,0)</f>
        <v>A</v>
      </c>
      <c r="I211" t="s">
        <v>211</v>
      </c>
      <c r="J211" s="5">
        <v>41374</v>
      </c>
      <c r="K211" s="10" t="s">
        <v>147</v>
      </c>
      <c r="L211" s="4" t="str">
        <f t="shared" ca="1" si="6"/>
        <v/>
      </c>
      <c r="M211" s="6" t="str">
        <f>IF(VLOOKUP($C$4,Working!$A$23:$L$52,Working!$F$21,0)="Y",TEXT($C$6,"YYYYMM")&amp;"_"&amp;$E211&amp;"_"&amp;Working!$B$11&amp;Working!$B$12,"")</f>
        <v>201703_WZ2AM_Top15.xlsx</v>
      </c>
      <c r="N211" s="6" t="str">
        <f>IF(VLOOKUP($C$4,Working!$A$23:$L$52,Working!$I$21,0)="Y",TEXT($C$6,"YYYYMM")&amp;"_"&amp;$E211&amp;"_"&amp;Working!$B$13&amp;Working!$B$14,"")</f>
        <v/>
      </c>
      <c r="O211" s="4" t="s">
        <v>228</v>
      </c>
      <c r="P211" s="4" t="s">
        <v>228</v>
      </c>
      <c r="Q211" s="41"/>
      <c r="R211" s="41"/>
      <c r="S211" s="41"/>
      <c r="T211" s="41"/>
      <c r="U211" s="41" t="s">
        <v>228</v>
      </c>
      <c r="V211" s="4"/>
      <c r="AS211"/>
    </row>
    <row r="212" spans="1:45" x14ac:dyDescent="0.3">
      <c r="A212">
        <v>3251</v>
      </c>
      <c r="B212" s="46" t="str">
        <f>VLOOKUP(A212,'Monthly EE List'!A:D,4,0)&amp;" "&amp;VLOOKUP(A212,'Monthly EE List'!A:D,3,0)</f>
        <v>ADEEL IQBAL</v>
      </c>
      <c r="C212" s="38" t="s">
        <v>2941</v>
      </c>
      <c r="D212" s="4" t="s">
        <v>599</v>
      </c>
      <c r="E212" s="10">
        <v>78017</v>
      </c>
      <c r="F212" t="s">
        <v>225</v>
      </c>
      <c r="G212" s="4" t="s">
        <v>244</v>
      </c>
      <c r="H212" s="4" t="str">
        <f>VLOOKUP(A212,'Monthly EE List'!A:G,7,0)</f>
        <v>A</v>
      </c>
      <c r="I212" t="s">
        <v>211</v>
      </c>
      <c r="J212" s="5">
        <v>41467</v>
      </c>
      <c r="K212" t="s">
        <v>551</v>
      </c>
      <c r="L212" s="4" t="str">
        <f t="shared" ca="1" si="6"/>
        <v/>
      </c>
      <c r="M212" s="6" t="str">
        <f>IF(VLOOKUP($C$4,Working!$A$23:$L$52,Working!$F$21,0)="Y",TEXT($C$6,"YYYYMM")&amp;"_"&amp;$E212&amp;"_"&amp;Working!$B$11&amp;Working!$B$12,"")</f>
        <v>201703_78017_Top15.xlsx</v>
      </c>
      <c r="N212" s="6" t="str">
        <f>IF(VLOOKUP($C$4,Working!$A$23:$L$52,Working!$I$21,0)="Y",TEXT($C$6,"YYYYMM")&amp;"_"&amp;$E212&amp;"_"&amp;Working!$B$13&amp;Working!$B$14,"")</f>
        <v/>
      </c>
      <c r="O212" s="4"/>
      <c r="P212" s="4"/>
      <c r="Q212" s="41"/>
      <c r="R212" s="41"/>
      <c r="S212" s="41"/>
      <c r="T212" s="41"/>
      <c r="U212" s="41"/>
      <c r="V212" s="4"/>
      <c r="AS212"/>
    </row>
    <row r="213" spans="1:45" x14ac:dyDescent="0.3">
      <c r="A213">
        <v>3253</v>
      </c>
      <c r="B213" s="46" t="str">
        <f>VLOOKUP(A213,'Monthly EE List'!A:D,4,0)&amp;" "&amp;VLOOKUP(A213,'Monthly EE List'!A:D,3,0)</f>
        <v>YANICK DE MONTIGNY</v>
      </c>
      <c r="C213" s="38" t="s">
        <v>2963</v>
      </c>
      <c r="D213" s="4" t="s">
        <v>599</v>
      </c>
      <c r="E213" s="10">
        <v>78018</v>
      </c>
      <c r="F213" t="s">
        <v>225</v>
      </c>
      <c r="G213" s="4" t="s">
        <v>244</v>
      </c>
      <c r="H213" s="4" t="str">
        <f>VLOOKUP(A213,'Monthly EE List'!A:G,7,0)</f>
        <v>A</v>
      </c>
      <c r="I213" t="s">
        <v>211</v>
      </c>
      <c r="J213" s="5">
        <v>41514</v>
      </c>
      <c r="K213" t="s">
        <v>551</v>
      </c>
      <c r="L213" s="4" t="str">
        <f t="shared" ca="1" si="6"/>
        <v/>
      </c>
      <c r="M213" s="6" t="str">
        <f>IF(VLOOKUP($C$4,Working!$A$23:$L$52,Working!$F$21,0)="Y",TEXT($C$6,"YYYYMM")&amp;"_"&amp;$E213&amp;"_"&amp;Working!$B$11&amp;Working!$B$12,"")</f>
        <v>201703_78018_Top15.xlsx</v>
      </c>
      <c r="N213" s="6" t="str">
        <f>IF(VLOOKUP($C$4,Working!$A$23:$L$52,Working!$I$21,0)="Y",TEXT($C$6,"YYYYMM")&amp;"_"&amp;$E213&amp;"_"&amp;Working!$B$13&amp;Working!$B$14,"")</f>
        <v/>
      </c>
      <c r="O213" s="4"/>
      <c r="P213" s="4"/>
      <c r="Q213" s="41" t="s">
        <v>228</v>
      </c>
      <c r="R213" s="41"/>
      <c r="S213" s="41"/>
      <c r="T213" s="41"/>
      <c r="U213" s="41"/>
      <c r="V213" s="4"/>
      <c r="AS213"/>
    </row>
    <row r="214" spans="1:45" x14ac:dyDescent="0.3">
      <c r="A214">
        <v>3256</v>
      </c>
      <c r="B214" s="37" t="str">
        <f>VLOOKUP(A214,'Monthly EE List'!A:D,4,0)&amp;" "&amp;VLOOKUP(A214,'Monthly EE List'!A:D,3,0)</f>
        <v>CARL DONOHUE</v>
      </c>
      <c r="C214" s="38" t="s">
        <v>3083</v>
      </c>
      <c r="D214" s="4" t="s">
        <v>599</v>
      </c>
      <c r="E214">
        <v>30615</v>
      </c>
      <c r="F214" t="s">
        <v>224</v>
      </c>
      <c r="G214" s="4" t="s">
        <v>244</v>
      </c>
      <c r="H214" s="4" t="str">
        <f>VLOOKUP(A214,'Monthly EE List'!A:G,7,0)</f>
        <v>A</v>
      </c>
      <c r="I214" t="s">
        <v>211</v>
      </c>
      <c r="J214" s="5">
        <v>41669</v>
      </c>
      <c r="K214" t="s">
        <v>551</v>
      </c>
      <c r="L214" s="4" t="str">
        <f t="shared" ca="1" si="6"/>
        <v/>
      </c>
      <c r="M214" s="6" t="str">
        <f>IF(VLOOKUP($C$4,Working!$A$23:$L$52,Working!$F$21,0)="Y",TEXT($C$6,"YYYYMM")&amp;"_"&amp;$E214&amp;"_"&amp;Working!$B$11&amp;Working!$B$12,"")</f>
        <v>201703_30615_Top15.xlsx</v>
      </c>
      <c r="N214" s="6" t="str">
        <f>IF(VLOOKUP($C$4,Working!$A$23:$L$52,Working!$I$21,0)="Y",TEXT($C$6,"YYYYMM")&amp;"_"&amp;$E214&amp;"_"&amp;Working!$B$13&amp;Working!$B$14,"")</f>
        <v/>
      </c>
      <c r="O214" s="4"/>
      <c r="P214" s="4"/>
      <c r="Q214" s="41" t="s">
        <v>228</v>
      </c>
      <c r="R214" s="41"/>
      <c r="S214" s="41"/>
      <c r="T214" s="41"/>
      <c r="U214" s="41"/>
      <c r="V214" s="4"/>
      <c r="AS214"/>
    </row>
    <row r="215" spans="1:45" x14ac:dyDescent="0.3">
      <c r="A215">
        <v>3260</v>
      </c>
      <c r="B215" s="37" t="str">
        <f>VLOOKUP(A215,'Monthly EE List'!A:D,4,0)&amp;" "&amp;VLOOKUP(A215,'Monthly EE List'!A:D,3,0)</f>
        <v>CORNELL RUDDOCK</v>
      </c>
      <c r="C215" s="38" t="s">
        <v>3005</v>
      </c>
      <c r="D215" s="4" t="s">
        <v>599</v>
      </c>
      <c r="E215" s="10" t="s">
        <v>3006</v>
      </c>
      <c r="F215" t="s">
        <v>216</v>
      </c>
      <c r="G215" s="4" t="s">
        <v>142</v>
      </c>
      <c r="H215" s="4" t="str">
        <f>VLOOKUP(A215,'Monthly EE List'!A:G,7,0)</f>
        <v>A</v>
      </c>
      <c r="I215" t="s">
        <v>212</v>
      </c>
      <c r="J215" s="5">
        <v>42019</v>
      </c>
      <c r="K215" s="10" t="s">
        <v>2665</v>
      </c>
      <c r="L215" s="4" t="str">
        <f t="shared" ca="1" si="6"/>
        <v/>
      </c>
      <c r="M215" s="6" t="str">
        <f>IF(VLOOKUP($C$4,Working!$A$23:$L$52,Working!$F$21,0)="Y",TEXT($C$6,"YYYYMM")&amp;"_"&amp;$E215&amp;"_"&amp;Working!$B$11&amp;Working!$B$12,"")</f>
        <v>201703_CZ2CR_Top15.xlsx</v>
      </c>
      <c r="N215" s="6" t="str">
        <f>IF(VLOOKUP($C$4,Working!$A$23:$L$52,Working!$I$21,0)="Y",TEXT($C$6,"YYYYMM")&amp;"_"&amp;$E215&amp;"_"&amp;Working!$B$13&amp;Working!$B$14,"")</f>
        <v/>
      </c>
      <c r="O215" s="4" t="s">
        <v>228</v>
      </c>
      <c r="P215" s="54"/>
      <c r="Q215" s="41"/>
      <c r="R215" s="41"/>
      <c r="S215" s="41"/>
      <c r="T215" s="41"/>
      <c r="U215" s="41" t="s">
        <v>228</v>
      </c>
      <c r="V215" s="4"/>
      <c r="AS215"/>
    </row>
    <row r="216" spans="1:45" x14ac:dyDescent="0.3">
      <c r="A216">
        <v>3262</v>
      </c>
      <c r="B216" s="37" t="str">
        <f>VLOOKUP(A216,'Monthly EE List'!A:D,4,0)&amp;" "&amp;VLOOKUP(A216,'Monthly EE List'!A:D,3,0)</f>
        <v>SCOTT COSPER</v>
      </c>
      <c r="C216" s="38" t="s">
        <v>3069</v>
      </c>
      <c r="D216" s="4" t="s">
        <v>599</v>
      </c>
      <c r="E216" t="s">
        <v>3070</v>
      </c>
      <c r="F216" t="s">
        <v>226</v>
      </c>
      <c r="G216" s="4" t="s">
        <v>142</v>
      </c>
      <c r="H216" s="4" t="str">
        <f>VLOOKUP(A216,'Monthly EE List'!A:G,7,0)</f>
        <v>A</v>
      </c>
      <c r="I216" t="s">
        <v>211</v>
      </c>
      <c r="J216" s="5">
        <v>41652</v>
      </c>
      <c r="K216" t="s">
        <v>147</v>
      </c>
      <c r="L216" s="4" t="str">
        <f t="shared" ca="1" si="6"/>
        <v/>
      </c>
      <c r="M216" s="6" t="str">
        <f>IF(VLOOKUP($C$4,Working!$A$23:$L$52,Working!$F$21,0)="Y",TEXT($C$6,"YYYYMM")&amp;"_"&amp;$E216&amp;"_"&amp;Working!$B$11&amp;Working!$B$12,"")</f>
        <v>201703_WZ1SC_Top15.xlsx</v>
      </c>
      <c r="N216" s="6" t="str">
        <f>IF(VLOOKUP($C$4,Working!$A$23:$L$52,Working!$I$21,0)="Y",TEXT($C$6,"YYYYMM")&amp;"_"&amp;$E216&amp;"_"&amp;Working!$B$13&amp;Working!$B$14,"")</f>
        <v/>
      </c>
      <c r="O216" s="4" t="s">
        <v>228</v>
      </c>
      <c r="P216" s="4" t="s">
        <v>228</v>
      </c>
      <c r="Q216" s="41"/>
      <c r="R216" s="41"/>
      <c r="S216" s="41"/>
      <c r="T216" s="41"/>
      <c r="U216" s="41" t="s">
        <v>228</v>
      </c>
      <c r="V216" s="4"/>
      <c r="AS216"/>
    </row>
    <row r="217" spans="1:45" x14ac:dyDescent="0.3">
      <c r="A217">
        <v>3264</v>
      </c>
      <c r="B217" s="37" t="str">
        <f>VLOOKUP(A217,'Monthly EE List'!A:D,4,0)&amp;" "&amp;VLOOKUP(A217,'Monthly EE List'!A:D,3,0)</f>
        <v>CHARLES-ETIENNE GILBERT</v>
      </c>
      <c r="C217" s="38" t="s">
        <v>3091</v>
      </c>
      <c r="D217" s="4" t="s">
        <v>599</v>
      </c>
      <c r="E217">
        <v>40326</v>
      </c>
      <c r="F217" t="s">
        <v>223</v>
      </c>
      <c r="G217" s="4" t="s">
        <v>244</v>
      </c>
      <c r="H217" s="4" t="str">
        <f>VLOOKUP(A217,'Monthly EE List'!A:G,7,0)</f>
        <v>A</v>
      </c>
      <c r="I217" t="s">
        <v>211</v>
      </c>
      <c r="J217" s="5">
        <v>41681</v>
      </c>
      <c r="K217" t="s">
        <v>551</v>
      </c>
      <c r="L217" s="4" t="str">
        <f t="shared" ca="1" si="6"/>
        <v/>
      </c>
      <c r="M217" s="6" t="str">
        <f>IF(VLOOKUP($C$4,Working!$A$23:$L$52,Working!$F$21,0)="Y",TEXT($C$6,"YYYYMM")&amp;"_"&amp;$E217&amp;"_"&amp;Working!$B$11&amp;Working!$B$12,"")</f>
        <v>201703_40326_Top15.xlsx</v>
      </c>
      <c r="N217" s="6" t="str">
        <f>IF(VLOOKUP($C$4,Working!$A$23:$L$52,Working!$I$21,0)="Y",TEXT($C$6,"YYYYMM")&amp;"_"&amp;$E217&amp;"_"&amp;Working!$B$13&amp;Working!$B$14,"")</f>
        <v/>
      </c>
      <c r="O217" s="4"/>
      <c r="P217" s="4"/>
      <c r="Q217" s="41" t="s">
        <v>228</v>
      </c>
      <c r="R217" s="41"/>
      <c r="S217" s="41"/>
      <c r="T217" s="41"/>
      <c r="U217" s="41"/>
      <c r="V217" s="4"/>
      <c r="AS217"/>
    </row>
    <row r="218" spans="1:45" x14ac:dyDescent="0.3">
      <c r="A218">
        <v>3266</v>
      </c>
      <c r="B218" s="37" t="str">
        <f>VLOOKUP(A218,'Monthly EE List'!A:D,4,0)&amp;" "&amp;VLOOKUP(A218,'Monthly EE List'!A:D,3,0)</f>
        <v>TREVOR STELMASCHUK</v>
      </c>
      <c r="C218" s="38" t="s">
        <v>3107</v>
      </c>
      <c r="D218" s="4" t="s">
        <v>599</v>
      </c>
      <c r="E218">
        <v>78019</v>
      </c>
      <c r="F218" t="s">
        <v>225</v>
      </c>
      <c r="G218" s="4" t="s">
        <v>244</v>
      </c>
      <c r="H218" s="4" t="str">
        <f>VLOOKUP(A218,'Monthly EE List'!A:G,7,0)</f>
        <v>A</v>
      </c>
      <c r="I218" t="s">
        <v>211</v>
      </c>
      <c r="J218" s="5">
        <v>41697</v>
      </c>
      <c r="K218" t="s">
        <v>551</v>
      </c>
      <c r="L218" s="4" t="str">
        <f t="shared" ca="1" si="6"/>
        <v/>
      </c>
      <c r="M218" s="6" t="str">
        <f>IF(VLOOKUP($C$4,Working!$A$23:$L$52,Working!$F$21,0)="Y",TEXT($C$6,"YYYYMM")&amp;"_"&amp;$E218&amp;"_"&amp;Working!$B$11&amp;Working!$B$12,"")</f>
        <v>201703_78019_Top15.xlsx</v>
      </c>
      <c r="N218" s="6" t="str">
        <f>IF(VLOOKUP($C$4,Working!$A$23:$L$52,Working!$I$21,0)="Y",TEXT($C$6,"YYYYMM")&amp;"_"&amp;$E218&amp;"_"&amp;Working!$B$13&amp;Working!$B$14,"")</f>
        <v/>
      </c>
      <c r="O218" s="4"/>
      <c r="P218" s="4"/>
      <c r="Q218" s="41"/>
      <c r="R218" s="41"/>
      <c r="S218" s="41"/>
      <c r="T218" s="41"/>
      <c r="U218" s="41"/>
      <c r="V218" s="4"/>
      <c r="AS218"/>
    </row>
    <row r="219" spans="1:45" x14ac:dyDescent="0.3">
      <c r="A219">
        <v>3268</v>
      </c>
      <c r="B219" s="37" t="str">
        <f>VLOOKUP(A219,'Monthly EE List'!A:D,4,0)&amp;" "&amp;VLOOKUP(A219,'Monthly EE List'!A:D,3,0)</f>
        <v>DUSTIN BEDARD</v>
      </c>
      <c r="C219" s="38" t="s">
        <v>3109</v>
      </c>
      <c r="D219" s="4" t="s">
        <v>599</v>
      </c>
      <c r="E219">
        <v>78020</v>
      </c>
      <c r="F219" t="s">
        <v>225</v>
      </c>
      <c r="G219" s="4" t="s">
        <v>244</v>
      </c>
      <c r="H219" s="4" t="str">
        <f>VLOOKUP(A219,'Monthly EE List'!A:G,7,0)</f>
        <v>A</v>
      </c>
      <c r="I219" t="s">
        <v>211</v>
      </c>
      <c r="J219" s="5">
        <v>41708</v>
      </c>
      <c r="K219" t="s">
        <v>551</v>
      </c>
      <c r="L219" s="4" t="str">
        <f t="shared" ca="1" si="6"/>
        <v/>
      </c>
      <c r="M219" s="6" t="str">
        <f>IF(VLOOKUP($C$4,Working!$A$23:$L$52,Working!$F$21,0)="Y",TEXT($C$6,"YYYYMM")&amp;"_"&amp;$E219&amp;"_"&amp;Working!$B$11&amp;Working!$B$12,"")</f>
        <v>201703_78020_Top15.xlsx</v>
      </c>
      <c r="N219" s="6" t="str">
        <f>IF(VLOOKUP($C$4,Working!$A$23:$L$52,Working!$I$21,0)="Y",TEXT($C$6,"YYYYMM")&amp;"_"&amp;$E219&amp;"_"&amp;Working!$B$13&amp;Working!$B$14,"")</f>
        <v/>
      </c>
      <c r="O219" s="4"/>
      <c r="P219" s="4"/>
      <c r="Q219" s="41"/>
      <c r="R219" s="41"/>
      <c r="S219" s="41"/>
      <c r="T219" s="41"/>
      <c r="U219" s="41"/>
      <c r="V219" s="4"/>
      <c r="AS219"/>
    </row>
    <row r="220" spans="1:45" x14ac:dyDescent="0.3">
      <c r="A220">
        <v>3270</v>
      </c>
      <c r="B220" s="37" t="str">
        <f>VLOOKUP(A220,'Monthly EE List'!A:D,4,0)&amp;" "&amp;VLOOKUP(A220,'Monthly EE List'!A:D,3,0)</f>
        <v>PIETRO BOGDANICH</v>
      </c>
      <c r="C220" s="38" t="s">
        <v>3127</v>
      </c>
      <c r="D220" s="4" t="s">
        <v>599</v>
      </c>
      <c r="E220" t="s">
        <v>3128</v>
      </c>
      <c r="F220" t="s">
        <v>214</v>
      </c>
      <c r="G220" s="4" t="s">
        <v>142</v>
      </c>
      <c r="H220" s="4" t="str">
        <f>VLOOKUP(A220,'Monthly EE List'!A:G,7,0)</f>
        <v>A</v>
      </c>
      <c r="I220" t="s">
        <v>211</v>
      </c>
      <c r="J220" s="5">
        <v>41743</v>
      </c>
      <c r="K220" t="s">
        <v>147</v>
      </c>
      <c r="L220" s="4" t="str">
        <f t="shared" ca="1" si="6"/>
        <v/>
      </c>
      <c r="M220" s="6" t="str">
        <f>IF(VLOOKUP($C$4,Working!$A$23:$L$52,Working!$F$21,0)="Y",TEXT($C$6,"YYYYMM")&amp;"_"&amp;$E220&amp;"_"&amp;Working!$B$11&amp;Working!$B$12,"")</f>
        <v>201703_WZ1PB_Top15.xlsx</v>
      </c>
      <c r="N220" s="6" t="str">
        <f>IF(VLOOKUP($C$4,Working!$A$23:$L$52,Working!$I$21,0)="Y",TEXT($C$6,"YYYYMM")&amp;"_"&amp;$E220&amp;"_"&amp;Working!$B$13&amp;Working!$B$14,"")</f>
        <v/>
      </c>
      <c r="O220" s="4" t="s">
        <v>228</v>
      </c>
      <c r="P220" s="4" t="s">
        <v>228</v>
      </c>
      <c r="Q220" s="41"/>
      <c r="R220" s="41"/>
      <c r="S220" s="41"/>
      <c r="T220" s="41"/>
      <c r="U220" s="41" t="s">
        <v>228</v>
      </c>
      <c r="V220" s="4"/>
      <c r="AS220"/>
    </row>
    <row r="221" spans="1:45" x14ac:dyDescent="0.3">
      <c r="A221">
        <v>3272</v>
      </c>
      <c r="B221" s="37" t="str">
        <f>VLOOKUP(A221,'Monthly EE List'!A:D,4,0)&amp;" "&amp;VLOOKUP(A221,'Monthly EE List'!A:D,3,0)</f>
        <v>RICHARD STAMM</v>
      </c>
      <c r="C221" s="38" t="s">
        <v>3129</v>
      </c>
      <c r="D221" s="4" t="s">
        <v>599</v>
      </c>
      <c r="E221">
        <v>20415</v>
      </c>
      <c r="F221" t="s">
        <v>216</v>
      </c>
      <c r="G221" s="4" t="s">
        <v>244</v>
      </c>
      <c r="H221" s="4" t="str">
        <f>VLOOKUP(A221,'Monthly EE List'!A:G,7,0)</f>
        <v>A</v>
      </c>
      <c r="I221" t="s">
        <v>211</v>
      </c>
      <c r="J221" s="5">
        <v>41743</v>
      </c>
      <c r="K221" t="s">
        <v>551</v>
      </c>
      <c r="L221" s="4" t="str">
        <f t="shared" ca="1" si="6"/>
        <v/>
      </c>
      <c r="M221" s="6" t="str">
        <f>IF(VLOOKUP($C$4,Working!$A$23:$L$52,Working!$F$21,0)="Y",TEXT($C$6,"YYYYMM")&amp;"_"&amp;$E221&amp;"_"&amp;Working!$B$11&amp;Working!$B$12,"")</f>
        <v>201703_20415_Top15.xlsx</v>
      </c>
      <c r="N221" s="6" t="str">
        <f>IF(VLOOKUP($C$4,Working!$A$23:$L$52,Working!$I$21,0)="Y",TEXT($C$6,"YYYYMM")&amp;"_"&amp;$E221&amp;"_"&amp;Working!$B$13&amp;Working!$B$14,"")</f>
        <v/>
      </c>
      <c r="O221" s="4"/>
      <c r="P221" s="4"/>
      <c r="Q221" s="41" t="s">
        <v>228</v>
      </c>
      <c r="R221" s="41"/>
      <c r="S221" s="41"/>
      <c r="T221" s="41"/>
      <c r="U221" s="41"/>
      <c r="V221" s="4"/>
      <c r="AS221"/>
    </row>
    <row r="222" spans="1:45" x14ac:dyDescent="0.3">
      <c r="A222">
        <v>3273</v>
      </c>
      <c r="B222" s="37" t="str">
        <f>VLOOKUP(A222,'Monthly EE List'!A:D,4,0)&amp;" "&amp;VLOOKUP(A222,'Monthly EE List'!A:D,3,0)</f>
        <v>LYNDON PERRAULT</v>
      </c>
      <c r="C222" s="38" t="s">
        <v>3126</v>
      </c>
      <c r="D222" s="4" t="s">
        <v>599</v>
      </c>
      <c r="E222">
        <v>40328</v>
      </c>
      <c r="F222" t="s">
        <v>223</v>
      </c>
      <c r="G222" s="4" t="s">
        <v>244</v>
      </c>
      <c r="H222" s="4" t="str">
        <f>VLOOKUP(A222,'Monthly EE List'!A:G,7,0)</f>
        <v>A</v>
      </c>
      <c r="I222" t="s">
        <v>211</v>
      </c>
      <c r="J222" s="5">
        <v>41743</v>
      </c>
      <c r="K222" t="s">
        <v>551</v>
      </c>
      <c r="L222" s="4" t="str">
        <f t="shared" ca="1" si="6"/>
        <v/>
      </c>
      <c r="M222" s="6" t="str">
        <f>IF(VLOOKUP($C$4,Working!$A$23:$L$52,Working!$F$21,0)="Y",TEXT($C$6,"YYYYMM")&amp;"_"&amp;$E222&amp;"_"&amp;Working!$B$11&amp;Working!$B$12,"")</f>
        <v>201703_40328_Top15.xlsx</v>
      </c>
      <c r="N222" s="6" t="str">
        <f>IF(VLOOKUP($C$4,Working!$A$23:$L$52,Working!$I$21,0)="Y",TEXT($C$6,"YYYYMM")&amp;"_"&amp;$E222&amp;"_"&amp;Working!$B$13&amp;Working!$B$14,"")</f>
        <v/>
      </c>
      <c r="O222" s="4"/>
      <c r="P222" s="4"/>
      <c r="Q222" s="41" t="s">
        <v>228</v>
      </c>
      <c r="R222" s="41"/>
      <c r="S222" s="41"/>
      <c r="T222" s="41"/>
      <c r="U222" s="41"/>
      <c r="V222" s="4"/>
      <c r="AS222"/>
    </row>
    <row r="223" spans="1:45" x14ac:dyDescent="0.3">
      <c r="A223">
        <v>3274</v>
      </c>
      <c r="B223" s="37" t="str">
        <f>VLOOKUP(A223,'Monthly EE List'!A:D,4,0)&amp;" "&amp;VLOOKUP(A223,'Monthly EE List'!A:D,3,0)</f>
        <v>JEANETTE NORONHA</v>
      </c>
      <c r="C223" s="38" t="s">
        <v>3136</v>
      </c>
      <c r="D223" s="4" t="s">
        <v>599</v>
      </c>
      <c r="E223" t="s">
        <v>3137</v>
      </c>
      <c r="F223" t="s">
        <v>225</v>
      </c>
      <c r="G223" s="4" t="s">
        <v>142</v>
      </c>
      <c r="H223" s="4" t="str">
        <f>VLOOKUP(A223,'Monthly EE List'!A:G,7,0)</f>
        <v>A</v>
      </c>
      <c r="I223" t="s">
        <v>211</v>
      </c>
      <c r="J223" s="5">
        <v>41746</v>
      </c>
      <c r="K223" t="s">
        <v>147</v>
      </c>
      <c r="L223" s="4" t="str">
        <f t="shared" ca="1" si="6"/>
        <v/>
      </c>
      <c r="M223" s="6" t="str">
        <f>IF(VLOOKUP($C$4,Working!$A$23:$L$52,Working!$F$21,0)="Y",TEXT($C$6,"YYYYMM")&amp;"_"&amp;$E223&amp;"_"&amp;Working!$B$11&amp;Working!$B$12,"")</f>
        <v>201703_WZ1JN_Top15.xlsx</v>
      </c>
      <c r="N223" s="6" t="str">
        <f>IF(VLOOKUP($C$4,Working!$A$23:$L$52,Working!$I$21,0)="Y",TEXT($C$6,"YYYYMM")&amp;"_"&amp;$E223&amp;"_"&amp;Working!$B$13&amp;Working!$B$14,"")</f>
        <v/>
      </c>
      <c r="O223" s="4" t="s">
        <v>228</v>
      </c>
      <c r="P223" s="4" t="s">
        <v>228</v>
      </c>
      <c r="Q223" s="41"/>
      <c r="R223" s="41"/>
      <c r="S223" s="41"/>
      <c r="T223" s="41"/>
      <c r="U223" s="41" t="s">
        <v>228</v>
      </c>
      <c r="V223" s="4"/>
      <c r="AS223"/>
    </row>
    <row r="224" spans="1:45" x14ac:dyDescent="0.3">
      <c r="A224">
        <v>3274</v>
      </c>
      <c r="B224" s="37" t="str">
        <f>VLOOKUP(A224,'Monthly EE List'!A:D,4,0)&amp;" "&amp;VLOOKUP(A224,'Monthly EE List'!A:D,3,0)</f>
        <v>JEANETTE NORONHA</v>
      </c>
      <c r="C224" s="38" t="s">
        <v>3136</v>
      </c>
      <c r="D224" s="4" t="s">
        <v>599</v>
      </c>
      <c r="E224" t="s">
        <v>3860</v>
      </c>
      <c r="F224" t="s">
        <v>223</v>
      </c>
      <c r="G224" s="4" t="s">
        <v>142</v>
      </c>
      <c r="H224" s="4" t="str">
        <f>VLOOKUP(A224,'Monthly EE List'!A:G,7,0)</f>
        <v>A</v>
      </c>
      <c r="I224" t="s">
        <v>211</v>
      </c>
      <c r="J224" s="5">
        <v>42802</v>
      </c>
      <c r="K224" t="s">
        <v>3861</v>
      </c>
      <c r="L224" s="4" t="str">
        <f t="shared" ref="L224" ca="1" si="7">IF(OFFSET(N224,,$C$4)="X","X","")</f>
        <v/>
      </c>
      <c r="M224" s="6" t="str">
        <f>IF(VLOOKUP($C$4,Working!$A$23:$L$52,Working!$F$21,0)="Y",TEXT($C$6,"YYYYMM")&amp;"_"&amp;$E224&amp;"_"&amp;Working!$B$11&amp;Working!$B$12,"")</f>
        <v>201703_WZ1J2_Top15.xlsx</v>
      </c>
      <c r="N224" s="6" t="str">
        <f>IF(VLOOKUP($C$4,Working!$A$23:$L$52,Working!$I$21,0)="Y",TEXT($C$6,"YYYYMM")&amp;"_"&amp;$E224&amp;"_"&amp;Working!$B$13&amp;Working!$B$14,"")</f>
        <v/>
      </c>
      <c r="O224" s="4" t="s">
        <v>228</v>
      </c>
      <c r="P224" s="54"/>
      <c r="Q224" s="41"/>
      <c r="R224" s="41"/>
      <c r="S224" s="41"/>
      <c r="T224" s="41"/>
      <c r="U224" s="41" t="s">
        <v>228</v>
      </c>
      <c r="V224" s="4"/>
      <c r="AS224"/>
    </row>
    <row r="225" spans="1:45" x14ac:dyDescent="0.3">
      <c r="A225">
        <v>3276</v>
      </c>
      <c r="B225" s="37" t="str">
        <f>VLOOKUP(A225,'Monthly EE List'!A:D,4,0)&amp;" "&amp;VLOOKUP(A225,'Monthly EE List'!A:D,3,0)</f>
        <v>MARTIN KUREK</v>
      </c>
      <c r="C225" s="38" t="s">
        <v>3157</v>
      </c>
      <c r="D225" s="4" t="s">
        <v>599</v>
      </c>
      <c r="E225" t="s">
        <v>3158</v>
      </c>
      <c r="F225" t="s">
        <v>225</v>
      </c>
      <c r="G225" s="4" t="s">
        <v>142</v>
      </c>
      <c r="H225" s="4" t="str">
        <f>VLOOKUP(A225,'Monthly EE List'!A:G,7,0)</f>
        <v>A</v>
      </c>
      <c r="I225" t="s">
        <v>211</v>
      </c>
      <c r="J225" s="5">
        <v>41760</v>
      </c>
      <c r="K225" t="s">
        <v>147</v>
      </c>
      <c r="L225" s="4" t="str">
        <f t="shared" ca="1" si="6"/>
        <v/>
      </c>
      <c r="M225" s="6" t="str">
        <f>IF(VLOOKUP($C$4,Working!$A$23:$L$52,Working!$F$21,0)="Y",TEXT($C$6,"YYYYMM")&amp;"_"&amp;$E225&amp;"_"&amp;Working!$B$11&amp;Working!$B$12,"")</f>
        <v>201703_WZ1MK_Top15.xlsx</v>
      </c>
      <c r="N225" s="6" t="str">
        <f>IF(VLOOKUP($C$4,Working!$A$23:$L$52,Working!$I$21,0)="Y",TEXT($C$6,"YYYYMM")&amp;"_"&amp;$E225&amp;"_"&amp;Working!$B$13&amp;Working!$B$14,"")</f>
        <v/>
      </c>
      <c r="O225" s="4" t="s">
        <v>228</v>
      </c>
      <c r="P225" s="4" t="s">
        <v>228</v>
      </c>
      <c r="Q225" s="41"/>
      <c r="R225" s="41"/>
      <c r="S225" s="41"/>
      <c r="T225" s="41"/>
      <c r="U225" s="41" t="s">
        <v>228</v>
      </c>
      <c r="V225" s="4"/>
      <c r="AS225"/>
    </row>
    <row r="226" spans="1:45" x14ac:dyDescent="0.3">
      <c r="A226">
        <v>3280</v>
      </c>
      <c r="B226" s="37" t="str">
        <f>VLOOKUP(A226,'Monthly EE List'!A:D,4,0)&amp;" "&amp;VLOOKUP(A226,'Monthly EE List'!A:D,3,0)</f>
        <v>TAVIS SCHWINGBOTH</v>
      </c>
      <c r="C226" s="38" t="s">
        <v>3175</v>
      </c>
      <c r="D226" s="4" t="s">
        <v>599</v>
      </c>
      <c r="E226">
        <v>60428</v>
      </c>
      <c r="F226" t="s">
        <v>214</v>
      </c>
      <c r="G226" s="4" t="s">
        <v>244</v>
      </c>
      <c r="H226" s="4" t="str">
        <f>VLOOKUP(A226,'Monthly EE List'!A:G,7,0)</f>
        <v>A</v>
      </c>
      <c r="I226" t="s">
        <v>211</v>
      </c>
      <c r="J226" s="5">
        <v>42597</v>
      </c>
      <c r="K226" t="s">
        <v>3745</v>
      </c>
      <c r="L226" s="4" t="str">
        <f t="shared" ca="1" si="6"/>
        <v/>
      </c>
      <c r="M226" s="6" t="str">
        <f>IF(VLOOKUP($C$4,Working!$A$23:$L$52,Working!$F$21,0)="Y",TEXT($C$6,"YYYYMM")&amp;"_"&amp;$E226&amp;"_"&amp;Working!$B$11&amp;Working!$B$12,"")</f>
        <v>201703_60428_Top15.xlsx</v>
      </c>
      <c r="N226" s="6" t="str">
        <f>IF(VLOOKUP($C$4,Working!$A$23:$L$52,Working!$I$21,0)="Y",TEXT($C$6,"YYYYMM")&amp;"_"&amp;$E226&amp;"_"&amp;Working!$B$13&amp;Working!$B$14,"")</f>
        <v/>
      </c>
      <c r="O226" s="4"/>
      <c r="P226" s="4"/>
      <c r="Q226" s="54"/>
      <c r="R226" s="41"/>
      <c r="S226" s="41"/>
      <c r="T226" s="41"/>
      <c r="U226" s="41"/>
      <c r="V226" s="4"/>
      <c r="AS226"/>
    </row>
    <row r="227" spans="1:45" ht="15" x14ac:dyDescent="0.35">
      <c r="A227" s="56">
        <v>3285</v>
      </c>
      <c r="B227" s="37" t="str">
        <f>VLOOKUP(A227,'Monthly EE List'!A:D,4,0)&amp;" "&amp;VLOOKUP(A227,'Monthly EE List'!A:D,3,0)</f>
        <v>NATHAN PIEPGRASS</v>
      </c>
      <c r="C227" s="38" t="s">
        <v>3224</v>
      </c>
      <c r="D227" s="4" t="s">
        <v>599</v>
      </c>
      <c r="E227">
        <v>78021</v>
      </c>
      <c r="F227" t="s">
        <v>225</v>
      </c>
      <c r="G227" s="4" t="s">
        <v>244</v>
      </c>
      <c r="H227" s="4" t="str">
        <f>VLOOKUP(A227,'Monthly EE List'!A:G,7,0)</f>
        <v>A</v>
      </c>
      <c r="I227" t="s">
        <v>211</v>
      </c>
      <c r="J227" s="5">
        <v>41858</v>
      </c>
      <c r="K227" t="s">
        <v>551</v>
      </c>
      <c r="L227" s="4" t="str">
        <f t="shared" ca="1" si="6"/>
        <v/>
      </c>
      <c r="M227" s="6" t="str">
        <f>IF(VLOOKUP($C$4,Working!$A$23:$L$52,Working!$F$21,0)="Y",TEXT($C$6,"YYYYMM")&amp;"_"&amp;$E227&amp;"_"&amp;Working!$B$11&amp;Working!$B$12,"")</f>
        <v>201703_78021_Top15.xlsx</v>
      </c>
      <c r="N227" s="6" t="str">
        <f>IF(VLOOKUP($C$4,Working!$A$23:$L$52,Working!$I$21,0)="Y",TEXT($C$6,"YYYYMM")&amp;"_"&amp;$E227&amp;"_"&amp;Working!$B$13&amp;Working!$B$14,"")</f>
        <v/>
      </c>
      <c r="O227" s="4"/>
      <c r="P227" s="4"/>
      <c r="Q227" s="41" t="s">
        <v>228</v>
      </c>
      <c r="R227" s="41"/>
      <c r="S227" s="41"/>
      <c r="T227" s="41"/>
      <c r="U227" s="4"/>
      <c r="V227" s="4"/>
      <c r="W227" s="4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</row>
    <row r="228" spans="1:45" x14ac:dyDescent="0.3">
      <c r="A228">
        <v>3286</v>
      </c>
      <c r="B228" s="37" t="str">
        <f>VLOOKUP(A228,'Monthly EE List'!A:D,4,0)&amp;" "&amp;VLOOKUP(A228,'Monthly EE List'!A:D,3,0)</f>
        <v>CARLA AMERO</v>
      </c>
      <c r="C228" s="38" t="s">
        <v>3197</v>
      </c>
      <c r="D228" s="4" t="s">
        <v>599</v>
      </c>
      <c r="E228" t="s">
        <v>3198</v>
      </c>
      <c r="F228" t="s">
        <v>225</v>
      </c>
      <c r="G228" s="4" t="s">
        <v>142</v>
      </c>
      <c r="H228" s="4" t="str">
        <f>VLOOKUP(A228,'Monthly EE List'!A:G,7,0)</f>
        <v>A</v>
      </c>
      <c r="I228" t="s">
        <v>211</v>
      </c>
      <c r="J228" s="5">
        <v>41816</v>
      </c>
      <c r="K228" t="s">
        <v>147</v>
      </c>
      <c r="L228" s="4" t="str">
        <f t="shared" ca="1" si="6"/>
        <v/>
      </c>
      <c r="M228" s="6" t="str">
        <f>IF(VLOOKUP($C$4,Working!$A$23:$L$52,Working!$F$21,0)="Y",TEXT($C$6,"YYYYMM")&amp;"_"&amp;$E228&amp;"_"&amp;Working!$B$11&amp;Working!$B$12,"")</f>
        <v>201703_WZ1CA_Top15.xlsx</v>
      </c>
      <c r="N228" s="6" t="str">
        <f>IF(VLOOKUP($C$4,Working!$A$23:$L$52,Working!$I$21,0)="Y",TEXT($C$6,"YYYYMM")&amp;"_"&amp;$E228&amp;"_"&amp;Working!$B$13&amp;Working!$B$14,"")</f>
        <v/>
      </c>
      <c r="O228" s="4" t="s">
        <v>228</v>
      </c>
      <c r="P228" s="4" t="s">
        <v>228</v>
      </c>
      <c r="Q228" s="41"/>
      <c r="R228" s="41"/>
      <c r="S228" s="41"/>
      <c r="T228" s="41"/>
      <c r="U228" s="41" t="s">
        <v>228</v>
      </c>
      <c r="V228" s="4"/>
      <c r="AS228"/>
    </row>
    <row r="229" spans="1:45" ht="15" x14ac:dyDescent="0.35">
      <c r="A229" s="56">
        <v>3287</v>
      </c>
      <c r="B229" s="37" t="str">
        <f>VLOOKUP(A229,'Monthly EE List'!A:D,4,0)&amp;" "&amp;VLOOKUP(A229,'Monthly EE List'!A:D,3,0)</f>
        <v>JOHN MEREDITH</v>
      </c>
      <c r="C229" s="38" t="s">
        <v>3199</v>
      </c>
      <c r="D229" s="4" t="s">
        <v>599</v>
      </c>
      <c r="E229" t="s">
        <v>3202</v>
      </c>
      <c r="F229" t="s">
        <v>214</v>
      </c>
      <c r="G229" s="4" t="s">
        <v>3007</v>
      </c>
      <c r="H229" s="4" t="str">
        <f>VLOOKUP(A229,'Monthly EE List'!A:G,7,0)</f>
        <v>A</v>
      </c>
      <c r="I229" t="s">
        <v>211</v>
      </c>
      <c r="J229" s="5">
        <v>41829</v>
      </c>
      <c r="K229" t="s">
        <v>2716</v>
      </c>
      <c r="L229" s="4" t="str">
        <f t="shared" ca="1" si="6"/>
        <v>X</v>
      </c>
      <c r="M229" s="6" t="str">
        <f>IF(VLOOKUP($C$4,Working!$A$23:$L$52,Working!$F$21,0)="Y",TEXT($C$6,"YYYYMM")&amp;"_"&amp;$E229&amp;"_"&amp;Working!$B$11&amp;Working!$B$12,"")</f>
        <v>201703_VAC01_Top15.xlsx</v>
      </c>
      <c r="N229" s="6" t="str">
        <f>IF(VLOOKUP($C$4,Working!$A$23:$L$52,Working!$I$21,0)="Y",TEXT($C$6,"YYYYMM")&amp;"_"&amp;$E229&amp;"_"&amp;Working!$B$13&amp;Working!$B$14,"")</f>
        <v/>
      </c>
      <c r="O229" s="4"/>
      <c r="P229" s="4"/>
      <c r="Q229" s="41"/>
      <c r="R229" s="41"/>
      <c r="S229" s="41"/>
      <c r="T229" s="41"/>
      <c r="U229" s="4"/>
      <c r="V229" s="4"/>
      <c r="W229" s="4" t="s">
        <v>228</v>
      </c>
      <c r="AS229"/>
    </row>
    <row r="230" spans="1:45" s="10" customFormat="1" ht="15" x14ac:dyDescent="0.35">
      <c r="A230" s="56">
        <v>3287</v>
      </c>
      <c r="B230" s="37" t="str">
        <f>VLOOKUP(A230,'Monthly EE List'!A:D,4,0)&amp;" "&amp;VLOOKUP(A230,'Monthly EE List'!A:D,3,0)</f>
        <v>JOHN MEREDITH</v>
      </c>
      <c r="C230" s="38" t="s">
        <v>3199</v>
      </c>
      <c r="D230" s="4" t="s">
        <v>599</v>
      </c>
      <c r="E230" t="s">
        <v>3203</v>
      </c>
      <c r="F230" t="s">
        <v>214</v>
      </c>
      <c r="G230" s="4" t="s">
        <v>3007</v>
      </c>
      <c r="H230" s="4" t="str">
        <f>VLOOKUP(A230,'Monthly EE List'!A:G,7,0)</f>
        <v>A</v>
      </c>
      <c r="I230" t="s">
        <v>211</v>
      </c>
      <c r="J230" s="5">
        <v>41829</v>
      </c>
      <c r="K230" t="s">
        <v>2716</v>
      </c>
      <c r="L230" s="4" t="str">
        <f t="shared" ca="1" si="6"/>
        <v>X</v>
      </c>
      <c r="M230" s="6" t="str">
        <f>IF(VLOOKUP($C$4,Working!$A$23:$L$52,Working!$F$21,0)="Y",TEXT($C$6,"YYYYMM")&amp;"_"&amp;$E230&amp;"_"&amp;Working!$B$11&amp;Working!$B$12,"")</f>
        <v>201703_VAC02_Top15.xlsx</v>
      </c>
      <c r="N230" s="6" t="str">
        <f>IF(VLOOKUP($C$4,Working!$A$23:$L$52,Working!$I$21,0)="Y",TEXT($C$6,"YYYYMM")&amp;"_"&amp;$E230&amp;"_"&amp;Working!$B$13&amp;Working!$B$14,"")</f>
        <v/>
      </c>
      <c r="O230" s="4"/>
      <c r="P230" s="4"/>
      <c r="Q230" s="41"/>
      <c r="R230" s="41"/>
      <c r="S230" s="41"/>
      <c r="T230" s="41"/>
      <c r="U230" s="4"/>
      <c r="V230" s="4"/>
      <c r="W230" s="4" t="s">
        <v>228</v>
      </c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1:45" s="10" customFormat="1" ht="15" x14ac:dyDescent="0.35">
      <c r="A231" s="56">
        <v>3287</v>
      </c>
      <c r="B231" s="37" t="str">
        <f>VLOOKUP(A231,'Monthly EE List'!A:D,4,0)&amp;" "&amp;VLOOKUP(A231,'Monthly EE List'!A:D,3,0)</f>
        <v>JOHN MEREDITH</v>
      </c>
      <c r="C231" s="38" t="s">
        <v>3199</v>
      </c>
      <c r="D231" s="4" t="s">
        <v>599</v>
      </c>
      <c r="E231" t="s">
        <v>3204</v>
      </c>
      <c r="F231" t="s">
        <v>214</v>
      </c>
      <c r="G231" s="4" t="s">
        <v>3007</v>
      </c>
      <c r="H231" s="4" t="str">
        <f>VLOOKUP(A231,'Monthly EE List'!A:G,7,0)</f>
        <v>A</v>
      </c>
      <c r="I231" t="s">
        <v>211</v>
      </c>
      <c r="J231" s="5">
        <v>41829</v>
      </c>
      <c r="K231" t="s">
        <v>2716</v>
      </c>
      <c r="L231" s="4" t="str">
        <f t="shared" ca="1" si="6"/>
        <v>X</v>
      </c>
      <c r="M231" s="6" t="str">
        <f>IF(VLOOKUP($C$4,Working!$A$23:$L$52,Working!$F$21,0)="Y",TEXT($C$6,"YYYYMM")&amp;"_"&amp;$E231&amp;"_"&amp;Working!$B$11&amp;Working!$B$12,"")</f>
        <v>201703_VAC03_Top15.xlsx</v>
      </c>
      <c r="N231" s="6" t="str">
        <f>IF(VLOOKUP($C$4,Working!$A$23:$L$52,Working!$I$21,0)="Y",TEXT($C$6,"YYYYMM")&amp;"_"&amp;$E231&amp;"_"&amp;Working!$B$13&amp;Working!$B$14,"")</f>
        <v/>
      </c>
      <c r="O231" s="4"/>
      <c r="P231" s="4"/>
      <c r="Q231" s="41"/>
      <c r="R231" s="41"/>
      <c r="S231" s="41"/>
      <c r="T231" s="41"/>
      <c r="U231" s="4"/>
      <c r="V231" s="4"/>
      <c r="W231" s="4" t="s">
        <v>228</v>
      </c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1:45" s="10" customFormat="1" ht="15" x14ac:dyDescent="0.35">
      <c r="A232" s="56">
        <v>3287</v>
      </c>
      <c r="B232" s="37" t="str">
        <f>VLOOKUP(A232,'Monthly EE List'!A:D,4,0)&amp;" "&amp;VLOOKUP(A232,'Monthly EE List'!A:D,3,0)</f>
        <v>JOHN MEREDITH</v>
      </c>
      <c r="C232" s="38" t="s">
        <v>3199</v>
      </c>
      <c r="D232" s="4" t="s">
        <v>599</v>
      </c>
      <c r="E232" t="s">
        <v>214</v>
      </c>
      <c r="F232" t="s">
        <v>214</v>
      </c>
      <c r="G232" s="4" t="s">
        <v>3007</v>
      </c>
      <c r="H232" s="4" t="str">
        <f>VLOOKUP(A232,'Monthly EE List'!A:G,7,0)</f>
        <v>A</v>
      </c>
      <c r="I232" t="s">
        <v>211</v>
      </c>
      <c r="J232" s="5">
        <v>41829</v>
      </c>
      <c r="K232" t="s">
        <v>2716</v>
      </c>
      <c r="L232" s="4" t="str">
        <f t="shared" ca="1" si="6"/>
        <v>X</v>
      </c>
      <c r="M232" s="6" t="str">
        <f>IF(VLOOKUP($C$4,Working!$A$23:$L$52,Working!$F$21,0)="Y",TEXT($C$6,"YYYYMM")&amp;"_"&amp;$E232&amp;"_"&amp;Working!$B$11&amp;Working!$B$12,"")</f>
        <v>201703_VACVR_Top15.xlsx</v>
      </c>
      <c r="N232" s="6" t="str">
        <f>IF(VLOOKUP($C$4,Working!$A$23:$L$52,Working!$I$21,0)="Y",TEXT($C$6,"YYYYMM")&amp;"_"&amp;$E232&amp;"_"&amp;Working!$B$13&amp;Working!$B$14,"")</f>
        <v/>
      </c>
      <c r="O232" s="4"/>
      <c r="P232" s="4"/>
      <c r="Q232" s="41"/>
      <c r="R232" s="41"/>
      <c r="S232" s="41"/>
      <c r="T232" s="41"/>
      <c r="U232" s="4"/>
      <c r="V232" s="4"/>
      <c r="W232" s="4" t="s">
        <v>228</v>
      </c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1:45" s="10" customFormat="1" ht="15" x14ac:dyDescent="0.35">
      <c r="A233" s="56">
        <v>3287</v>
      </c>
      <c r="B233" s="37" t="str">
        <f>VLOOKUP(A233,'Monthly EE List'!A:D,4,0)&amp;" "&amp;VLOOKUP(A233,'Monthly EE List'!A:D,3,0)</f>
        <v>JOHN MEREDITH</v>
      </c>
      <c r="C233" s="38" t="s">
        <v>3199</v>
      </c>
      <c r="D233" s="4" t="s">
        <v>599</v>
      </c>
      <c r="E233" t="s">
        <v>226</v>
      </c>
      <c r="F233" t="s">
        <v>226</v>
      </c>
      <c r="G233" s="4" t="s">
        <v>3007</v>
      </c>
      <c r="H233" s="4" t="str">
        <f>VLOOKUP(A233,'Monthly EE List'!A:G,7,0)</f>
        <v>A</v>
      </c>
      <c r="I233" t="s">
        <v>211</v>
      </c>
      <c r="J233" s="5">
        <v>41829</v>
      </c>
      <c r="K233" t="s">
        <v>2716</v>
      </c>
      <c r="L233" s="4" t="str">
        <f t="shared" ca="1" si="6"/>
        <v>X</v>
      </c>
      <c r="M233" s="6" t="str">
        <f>IF(VLOOKUP($C$4,Working!$A$23:$L$52,Working!$F$21,0)="Y",TEXT($C$6,"YYYYMM")&amp;"_"&amp;$E233&amp;"_"&amp;Working!$B$11&amp;Working!$B$12,"")</f>
        <v>201703_VICTR_Top15.xlsx</v>
      </c>
      <c r="N233" s="6" t="str">
        <f>IF(VLOOKUP($C$4,Working!$A$23:$L$52,Working!$I$21,0)="Y",TEXT($C$6,"YYYYMM")&amp;"_"&amp;$E233&amp;"_"&amp;Working!$B$13&amp;Working!$B$14,"")</f>
        <v/>
      </c>
      <c r="O233" s="4"/>
      <c r="P233" s="4"/>
      <c r="Q233" s="41"/>
      <c r="R233" s="41"/>
      <c r="S233" s="41"/>
      <c r="T233" s="41"/>
      <c r="U233" s="4"/>
      <c r="V233" s="4"/>
      <c r="W233" s="4" t="s">
        <v>228</v>
      </c>
      <c r="X233"/>
      <c r="Y233"/>
      <c r="Z233"/>
    </row>
    <row r="234" spans="1:45" s="10" customFormat="1" x14ac:dyDescent="0.3">
      <c r="A234">
        <v>3292</v>
      </c>
      <c r="B234" s="37" t="str">
        <f>VLOOKUP(A234,'Monthly EE List'!A:D,4,0)&amp;" "&amp;VLOOKUP(A234,'Monthly EE List'!A:D,3,0)</f>
        <v>ROBERT SHANDRO</v>
      </c>
      <c r="C234" s="38" t="s">
        <v>3240</v>
      </c>
      <c r="D234" s="4" t="s">
        <v>599</v>
      </c>
      <c r="E234">
        <v>78023</v>
      </c>
      <c r="F234" t="s">
        <v>225</v>
      </c>
      <c r="G234" s="4" t="s">
        <v>244</v>
      </c>
      <c r="H234" s="4" t="str">
        <f>VLOOKUP(A234,'Monthly EE List'!A:G,7,0)</f>
        <v>A</v>
      </c>
      <c r="I234" t="s">
        <v>211</v>
      </c>
      <c r="J234" s="5">
        <v>41891</v>
      </c>
      <c r="K234" t="s">
        <v>551</v>
      </c>
      <c r="L234" s="4" t="str">
        <f t="shared" ca="1" si="6"/>
        <v/>
      </c>
      <c r="M234" s="6" t="str">
        <f>IF(VLOOKUP($C$4,Working!$A$23:$L$52,Working!$F$21,0)="Y",TEXT($C$6,"YYYYMM")&amp;"_"&amp;$E234&amp;"_"&amp;Working!$B$11&amp;Working!$B$12,"")</f>
        <v>201703_78023_Top15.xlsx</v>
      </c>
      <c r="N234" s="6" t="str">
        <f>IF(VLOOKUP($C$4,Working!$A$23:$L$52,Working!$I$21,0)="Y",TEXT($C$6,"YYYYMM")&amp;"_"&amp;$E234&amp;"_"&amp;Working!$B$13&amp;Working!$B$14,"")</f>
        <v/>
      </c>
      <c r="O234" s="4"/>
      <c r="P234" s="4"/>
      <c r="Q234" s="41" t="s">
        <v>228</v>
      </c>
      <c r="R234" s="41"/>
      <c r="S234" s="41"/>
      <c r="T234" s="41"/>
      <c r="U234" s="41"/>
      <c r="V234" s="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1:45" s="10" customFormat="1" x14ac:dyDescent="0.3">
      <c r="A235">
        <v>3294</v>
      </c>
      <c r="B235" s="37" t="str">
        <f>VLOOKUP(A235,'Monthly EE List'!A:D,4,0)&amp;" "&amp;VLOOKUP(A235,'Monthly EE List'!A:D,3,0)</f>
        <v>VICTORIA GRYLLS</v>
      </c>
      <c r="C235" s="38" t="s">
        <v>3231</v>
      </c>
      <c r="D235" s="4" t="s">
        <v>599</v>
      </c>
      <c r="E235">
        <v>78022</v>
      </c>
      <c r="F235" t="s">
        <v>225</v>
      </c>
      <c r="G235" s="4" t="s">
        <v>244</v>
      </c>
      <c r="H235" s="4" t="str">
        <f>VLOOKUP(A235,'Monthly EE List'!A:G,7,0)</f>
        <v>A</v>
      </c>
      <c r="I235" t="s">
        <v>211</v>
      </c>
      <c r="J235" s="5">
        <v>41870</v>
      </c>
      <c r="K235" t="s">
        <v>551</v>
      </c>
      <c r="L235" s="4" t="str">
        <f t="shared" ca="1" si="6"/>
        <v/>
      </c>
      <c r="M235" s="6" t="str">
        <f>IF(VLOOKUP($C$4,Working!$A$23:$L$52,Working!$F$21,0)="Y",TEXT($C$6,"YYYYMM")&amp;"_"&amp;$E235&amp;"_"&amp;Working!$B$11&amp;Working!$B$12,"")</f>
        <v>201703_78022_Top15.xlsx</v>
      </c>
      <c r="N235" s="6" t="str">
        <f>IF(VLOOKUP($C$4,Working!$A$23:$L$52,Working!$I$21,0)="Y",TEXT($C$6,"YYYYMM")&amp;"_"&amp;$E235&amp;"_"&amp;Working!$B$13&amp;Working!$B$14,"")</f>
        <v/>
      </c>
      <c r="O235" s="4"/>
      <c r="P235" s="4"/>
      <c r="Q235" s="41"/>
      <c r="R235" s="41"/>
      <c r="S235" s="41"/>
      <c r="T235" s="41"/>
      <c r="U235" s="41"/>
      <c r="V235" s="4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1:45" s="10" customFormat="1" x14ac:dyDescent="0.3">
      <c r="A236">
        <v>3298</v>
      </c>
      <c r="B236" s="37" t="str">
        <f>VLOOKUP(A236,'Monthly EE List'!A:D,4,0)&amp;" "&amp;VLOOKUP(A236,'Monthly EE List'!A:D,3,0)</f>
        <v>TERESA MCNEIL</v>
      </c>
      <c r="C236" s="38" t="s">
        <v>3256</v>
      </c>
      <c r="D236" s="4" t="s">
        <v>599</v>
      </c>
      <c r="E236" t="s">
        <v>3257</v>
      </c>
      <c r="F236" t="s">
        <v>223</v>
      </c>
      <c r="G236" s="4" t="s">
        <v>3008</v>
      </c>
      <c r="H236" s="4" t="str">
        <f>VLOOKUP(A236,'Monthly EE List'!A:G,7,0)</f>
        <v>A</v>
      </c>
      <c r="I236" t="s">
        <v>211</v>
      </c>
      <c r="J236" s="5">
        <v>41927</v>
      </c>
      <c r="K236" t="s">
        <v>3260</v>
      </c>
      <c r="L236" s="4" t="str">
        <f t="shared" ca="1" si="6"/>
        <v/>
      </c>
      <c r="M236" s="6" t="str">
        <f>IF(VLOOKUP($C$4,Working!$A$23:$L$52,Working!$F$21,0)="Y",TEXT($C$6,"YYYYMM")&amp;"_"&amp;$E236&amp;"_"&amp;Working!$B$11&amp;Working!$B$12,"")</f>
        <v>201703_WZ2TM_Top15.xlsx</v>
      </c>
      <c r="N236" s="6" t="str">
        <f>IF(VLOOKUP($C$4,Working!$A$23:$L$52,Working!$I$21,0)="Y",TEXT($C$6,"YYYYMM")&amp;"_"&amp;$E236&amp;"_"&amp;Working!$B$13&amp;Working!$B$14,"")</f>
        <v/>
      </c>
      <c r="O236" s="4" t="s">
        <v>228</v>
      </c>
      <c r="P236" s="4" t="s">
        <v>228</v>
      </c>
      <c r="Q236" s="41"/>
      <c r="R236" s="41"/>
      <c r="S236" s="41"/>
      <c r="T236" s="41"/>
      <c r="U236" s="41" t="s">
        <v>228</v>
      </c>
      <c r="V236" s="4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1:45" s="10" customFormat="1" x14ac:dyDescent="0.3">
      <c r="A237">
        <v>3298</v>
      </c>
      <c r="B237" s="37" t="str">
        <f>VLOOKUP(A237,'Monthly EE List'!A:D,4,0)&amp;" "&amp;VLOOKUP(A237,'Monthly EE List'!A:D,3,0)</f>
        <v>TERESA MCNEIL</v>
      </c>
      <c r="C237" s="38" t="s">
        <v>3256</v>
      </c>
      <c r="D237" s="4" t="s">
        <v>599</v>
      </c>
      <c r="E237" t="s">
        <v>3258</v>
      </c>
      <c r="F237" t="s">
        <v>225</v>
      </c>
      <c r="G237" s="4" t="s">
        <v>3008</v>
      </c>
      <c r="H237" s="4" t="str">
        <f>VLOOKUP(A237,'Monthly EE List'!A:G,7,0)</f>
        <v>A</v>
      </c>
      <c r="I237" t="s">
        <v>211</v>
      </c>
      <c r="J237" s="5">
        <v>41927</v>
      </c>
      <c r="K237" t="s">
        <v>3279</v>
      </c>
      <c r="L237" s="4" t="str">
        <f t="shared" ca="1" si="6"/>
        <v/>
      </c>
      <c r="M237" s="6" t="str">
        <f>IF(VLOOKUP($C$4,Working!$A$23:$L$52,Working!$F$21,0)="Y",TEXT($C$6,"YYYYMM")&amp;"_"&amp;$E237&amp;"_"&amp;Working!$B$11&amp;Working!$B$12,"")</f>
        <v>201703_WZ2T1_Top15.xlsx</v>
      </c>
      <c r="N237" s="6" t="str">
        <f>IF(VLOOKUP($C$4,Working!$A$23:$L$52,Working!$I$21,0)="Y",TEXT($C$6,"YYYYMM")&amp;"_"&amp;$E237&amp;"_"&amp;Working!$B$13&amp;Working!$B$14,"")</f>
        <v/>
      </c>
      <c r="O237" s="4" t="s">
        <v>228</v>
      </c>
      <c r="P237" s="54"/>
      <c r="Q237" s="41"/>
      <c r="R237" s="41"/>
      <c r="S237" s="41"/>
      <c r="T237" s="41"/>
      <c r="U237" s="41" t="s">
        <v>228</v>
      </c>
      <c r="V237" s="4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1:45" s="10" customFormat="1" x14ac:dyDescent="0.3">
      <c r="A238">
        <v>3298</v>
      </c>
      <c r="B238" s="37" t="str">
        <f>VLOOKUP(A238,'Monthly EE List'!A:D,4,0)&amp;" "&amp;VLOOKUP(A238,'Monthly EE List'!A:D,3,0)</f>
        <v>TERESA MCNEIL</v>
      </c>
      <c r="C238" s="38" t="s">
        <v>3256</v>
      </c>
      <c r="D238" s="4" t="s">
        <v>599</v>
      </c>
      <c r="E238" t="s">
        <v>3259</v>
      </c>
      <c r="F238" t="s">
        <v>214</v>
      </c>
      <c r="G238" s="4" t="s">
        <v>3008</v>
      </c>
      <c r="H238" s="4" t="str">
        <f>VLOOKUP(A238,'Monthly EE List'!A:G,7,0)</f>
        <v>A</v>
      </c>
      <c r="I238" t="s">
        <v>211</v>
      </c>
      <c r="J238" s="5">
        <v>41927</v>
      </c>
      <c r="K238" t="s">
        <v>3280</v>
      </c>
      <c r="L238" s="4" t="str">
        <f t="shared" ca="1" si="6"/>
        <v/>
      </c>
      <c r="M238" s="6" t="str">
        <f>IF(VLOOKUP($C$4,Working!$A$23:$L$52,Working!$F$21,0)="Y",TEXT($C$6,"YYYYMM")&amp;"_"&amp;$E238&amp;"_"&amp;Working!$B$11&amp;Working!$B$12,"")</f>
        <v>201703_WZ2T2_Top15.xlsx</v>
      </c>
      <c r="N238" s="6" t="str">
        <f>IF(VLOOKUP($C$4,Working!$A$23:$L$52,Working!$I$21,0)="Y",TEXT($C$6,"YYYYMM")&amp;"_"&amp;$E238&amp;"_"&amp;Working!$B$13&amp;Working!$B$14,"")</f>
        <v/>
      </c>
      <c r="O238" s="4" t="s">
        <v>228</v>
      </c>
      <c r="P238" s="54"/>
      <c r="Q238" s="41"/>
      <c r="R238" s="41"/>
      <c r="S238" s="41"/>
      <c r="T238" s="41"/>
      <c r="U238" s="41" t="s">
        <v>228</v>
      </c>
      <c r="V238" s="4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1:45" s="10" customFormat="1" collapsed="1" x14ac:dyDescent="0.3">
      <c r="A239">
        <v>3302</v>
      </c>
      <c r="B239" s="37" t="str">
        <f>VLOOKUP(A239,'Monthly EE List'!A:D,4,0)&amp;" "&amp;VLOOKUP(A239,'Monthly EE List'!A:D,3,0)</f>
        <v>JENNA AZARKO</v>
      </c>
      <c r="C239" s="38" t="s">
        <v>3294</v>
      </c>
      <c r="D239" s="4" t="s">
        <v>599</v>
      </c>
      <c r="E239" t="s">
        <v>3293</v>
      </c>
      <c r="F239" t="s">
        <v>225</v>
      </c>
      <c r="G239" s="4" t="s">
        <v>142</v>
      </c>
      <c r="H239" s="4" t="str">
        <f>VLOOKUP(A239,'Monthly EE List'!A:G,7,0)</f>
        <v>A</v>
      </c>
      <c r="I239" t="s">
        <v>211</v>
      </c>
      <c r="J239" s="5">
        <v>41975</v>
      </c>
      <c r="K239" t="s">
        <v>147</v>
      </c>
      <c r="L239" s="4" t="str">
        <f t="shared" ca="1" si="6"/>
        <v/>
      </c>
      <c r="M239" s="6" t="str">
        <f>IF(VLOOKUP($C$4,Working!$A$23:$L$52,Working!$F$21,0)="Y",TEXT($C$6,"YYYYMM")&amp;"_"&amp;$E239&amp;"_"&amp;Working!$B$11&amp;Working!$B$12,"")</f>
        <v>201703_WZ1JA_Top15.xlsx</v>
      </c>
      <c r="N239" s="6" t="str">
        <f>IF(VLOOKUP($C$4,Working!$A$23:$L$52,Working!$I$21,0)="Y",TEXT($C$6,"YYYYMM")&amp;"_"&amp;$E239&amp;"_"&amp;Working!$B$13&amp;Working!$B$14,"")</f>
        <v/>
      </c>
      <c r="O239" s="4" t="s">
        <v>228</v>
      </c>
      <c r="P239" s="54"/>
      <c r="Q239" s="41"/>
      <c r="R239" s="41"/>
      <c r="S239" s="41"/>
      <c r="T239" s="41"/>
      <c r="U239" s="41" t="s">
        <v>228</v>
      </c>
      <c r="V239" s="4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1:45" s="10" customFormat="1" x14ac:dyDescent="0.3">
      <c r="A240">
        <v>3305</v>
      </c>
      <c r="B240" s="37" t="str">
        <f>VLOOKUP(A240,'Monthly EE List'!A:D,4,0)&amp;" "&amp;VLOOKUP(A240,'Monthly EE List'!A:D,3,0)</f>
        <v>BROCK CROSSON</v>
      </c>
      <c r="C240" s="38" t="s">
        <v>3302</v>
      </c>
      <c r="D240" s="4" t="s">
        <v>599</v>
      </c>
      <c r="E240" t="s">
        <v>3303</v>
      </c>
      <c r="F240" t="s">
        <v>225</v>
      </c>
      <c r="G240" s="4" t="s">
        <v>142</v>
      </c>
      <c r="H240" s="4" t="str">
        <f>VLOOKUP(A240,'Monthly EE List'!A:G,7,0)</f>
        <v>A</v>
      </c>
      <c r="I240" t="s">
        <v>211</v>
      </c>
      <c r="J240" s="5">
        <v>42023</v>
      </c>
      <c r="K240" t="s">
        <v>147</v>
      </c>
      <c r="L240" s="4" t="str">
        <f t="shared" ca="1" si="6"/>
        <v/>
      </c>
      <c r="M240" s="6" t="str">
        <f>IF(VLOOKUP($C$4,Working!$A$23:$L$52,Working!$F$21,0)="Y",TEXT($C$6,"YYYYMM")&amp;"_"&amp;$E240&amp;"_"&amp;Working!$B$11&amp;Working!$B$12,"")</f>
        <v>201703_WZ1BC_Top15.xlsx</v>
      </c>
      <c r="N240" s="6" t="str">
        <f>IF(VLOOKUP($C$4,Working!$A$23:$L$52,Working!$I$21,0)="Y",TEXT($C$6,"YYYYMM")&amp;"_"&amp;$E240&amp;"_"&amp;Working!$B$13&amp;Working!$B$14,"")</f>
        <v/>
      </c>
      <c r="O240" s="4" t="s">
        <v>228</v>
      </c>
      <c r="P240" s="4" t="s">
        <v>228</v>
      </c>
      <c r="Q240" s="41"/>
      <c r="R240" s="41"/>
      <c r="S240" s="41"/>
      <c r="T240" s="41"/>
      <c r="U240" s="41" t="s">
        <v>228</v>
      </c>
      <c r="V240" s="4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1:45" s="10" customFormat="1" x14ac:dyDescent="0.3">
      <c r="A241">
        <v>3306</v>
      </c>
      <c r="B241" s="37" t="str">
        <f>VLOOKUP(A241,'Monthly EE List'!A:D,4,0)&amp;" "&amp;VLOOKUP(A241,'Monthly EE List'!A:D,3,0)</f>
        <v>DAVID HASKINS</v>
      </c>
      <c r="C241" s="38" t="s">
        <v>3300</v>
      </c>
      <c r="D241" s="4" t="s">
        <v>599</v>
      </c>
      <c r="E241" t="s">
        <v>3202</v>
      </c>
      <c r="F241" t="s">
        <v>214</v>
      </c>
      <c r="G241" s="4" t="s">
        <v>3007</v>
      </c>
      <c r="H241" s="4" t="str">
        <f>VLOOKUP(A241,'Monthly EE List'!A:G,7,0)</f>
        <v>A</v>
      </c>
      <c r="I241" t="s">
        <v>211</v>
      </c>
      <c r="J241" s="5">
        <v>42004</v>
      </c>
      <c r="K241" t="s">
        <v>2716</v>
      </c>
      <c r="L241" s="4" t="str">
        <f t="shared" ca="1" si="6"/>
        <v>X</v>
      </c>
      <c r="M241" s="6" t="str">
        <f>IF(VLOOKUP($C$4,Working!$A$23:$L$52,Working!$F$21,0)="Y",TEXT($C$6,"YYYYMM")&amp;"_"&amp;$E241&amp;"_"&amp;Working!$B$11&amp;Working!$B$12,"")</f>
        <v>201703_VAC01_Top15.xlsx</v>
      </c>
      <c r="N241" s="6" t="str">
        <f>IF(VLOOKUP($C$4,Working!$A$23:$L$52,Working!$I$21,0)="Y",TEXT($C$6,"YYYYMM")&amp;"_"&amp;$E241&amp;"_"&amp;Working!$B$13&amp;Working!$B$14,"")</f>
        <v/>
      </c>
      <c r="O241" s="41"/>
      <c r="P241" s="41"/>
      <c r="Q241" s="41"/>
      <c r="R241" s="41"/>
      <c r="S241" s="41"/>
      <c r="T241" s="41"/>
      <c r="U241" s="41"/>
      <c r="V241" s="41"/>
      <c r="W241" s="4" t="s">
        <v>228</v>
      </c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1:45" s="10" customFormat="1" x14ac:dyDescent="0.3">
      <c r="A242">
        <v>3306</v>
      </c>
      <c r="B242" s="37" t="str">
        <f>VLOOKUP(A242,'Monthly EE List'!A:D,4,0)&amp;" "&amp;VLOOKUP(A242,'Monthly EE List'!A:D,3,0)</f>
        <v>DAVID HASKINS</v>
      </c>
      <c r="C242" s="38" t="s">
        <v>3300</v>
      </c>
      <c r="D242" s="4" t="s">
        <v>599</v>
      </c>
      <c r="E242" t="s">
        <v>3203</v>
      </c>
      <c r="F242" t="s">
        <v>214</v>
      </c>
      <c r="G242" s="4" t="s">
        <v>3007</v>
      </c>
      <c r="H242" s="4" t="str">
        <f>VLOOKUP(A242,'Monthly EE List'!A:G,7,0)</f>
        <v>A</v>
      </c>
      <c r="I242" t="s">
        <v>211</v>
      </c>
      <c r="J242" s="5">
        <v>42004</v>
      </c>
      <c r="K242" t="s">
        <v>2716</v>
      </c>
      <c r="L242" s="4" t="str">
        <f t="shared" ca="1" si="6"/>
        <v>X</v>
      </c>
      <c r="M242" s="6" t="str">
        <f>IF(VLOOKUP($C$4,Working!$A$23:$L$52,Working!$F$21,0)="Y",TEXT($C$6,"YYYYMM")&amp;"_"&amp;$E242&amp;"_"&amp;Working!$B$11&amp;Working!$B$12,"")</f>
        <v>201703_VAC02_Top15.xlsx</v>
      </c>
      <c r="N242" s="6" t="str">
        <f>IF(VLOOKUP($C$4,Working!$A$23:$L$52,Working!$I$21,0)="Y",TEXT($C$6,"YYYYMM")&amp;"_"&amp;$E242&amp;"_"&amp;Working!$B$13&amp;Working!$B$14,"")</f>
        <v/>
      </c>
      <c r="O242" s="41"/>
      <c r="P242" s="41"/>
      <c r="Q242" s="41"/>
      <c r="R242" s="41"/>
      <c r="S242" s="41"/>
      <c r="T242" s="41"/>
      <c r="U242" s="41"/>
      <c r="V242" s="41"/>
      <c r="W242" s="4" t="s">
        <v>228</v>
      </c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1:45" s="10" customFormat="1" x14ac:dyDescent="0.3">
      <c r="A243">
        <v>3306</v>
      </c>
      <c r="B243" s="37" t="str">
        <f>VLOOKUP(A243,'Monthly EE List'!A:D,4,0)&amp;" "&amp;VLOOKUP(A243,'Monthly EE List'!A:D,3,0)</f>
        <v>DAVID HASKINS</v>
      </c>
      <c r="C243" s="38" t="s">
        <v>3300</v>
      </c>
      <c r="D243" s="4" t="s">
        <v>599</v>
      </c>
      <c r="E243" t="s">
        <v>3204</v>
      </c>
      <c r="F243" t="s">
        <v>214</v>
      </c>
      <c r="G243" s="4" t="s">
        <v>3007</v>
      </c>
      <c r="H243" s="4" t="str">
        <f>VLOOKUP(A243,'Monthly EE List'!A:G,7,0)</f>
        <v>A</v>
      </c>
      <c r="I243" t="s">
        <v>211</v>
      </c>
      <c r="J243" s="5">
        <v>42004</v>
      </c>
      <c r="K243" t="s">
        <v>2716</v>
      </c>
      <c r="L243" s="4" t="str">
        <f t="shared" ca="1" si="6"/>
        <v>X</v>
      </c>
      <c r="M243" s="6" t="str">
        <f>IF(VLOOKUP($C$4,Working!$A$23:$L$52,Working!$F$21,0)="Y",TEXT($C$6,"YYYYMM")&amp;"_"&amp;$E243&amp;"_"&amp;Working!$B$11&amp;Working!$B$12,"")</f>
        <v>201703_VAC03_Top15.xlsx</v>
      </c>
      <c r="N243" s="6" t="str">
        <f>IF(VLOOKUP($C$4,Working!$A$23:$L$52,Working!$I$21,0)="Y",TEXT($C$6,"YYYYMM")&amp;"_"&amp;$E243&amp;"_"&amp;Working!$B$13&amp;Working!$B$14,"")</f>
        <v/>
      </c>
      <c r="O243" s="41"/>
      <c r="P243" s="41"/>
      <c r="Q243" s="41"/>
      <c r="R243" s="41"/>
      <c r="S243" s="41"/>
      <c r="T243" s="41"/>
      <c r="U243" s="41"/>
      <c r="V243" s="41"/>
      <c r="W243" s="4" t="s">
        <v>228</v>
      </c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1:45" s="10" customFormat="1" x14ac:dyDescent="0.3">
      <c r="A244">
        <v>3306</v>
      </c>
      <c r="B244" s="37" t="str">
        <f>VLOOKUP(A244,'Monthly EE List'!A:D,4,0)&amp;" "&amp;VLOOKUP(A244,'Monthly EE List'!A:D,3,0)</f>
        <v>DAVID HASKINS</v>
      </c>
      <c r="C244" s="38" t="s">
        <v>3300</v>
      </c>
      <c r="D244" s="4" t="s">
        <v>599</v>
      </c>
      <c r="E244" t="s">
        <v>214</v>
      </c>
      <c r="F244" t="s">
        <v>214</v>
      </c>
      <c r="G244" s="4" t="s">
        <v>3007</v>
      </c>
      <c r="H244" s="4" t="str">
        <f>VLOOKUP(A244,'Monthly EE List'!A:G,7,0)</f>
        <v>A</v>
      </c>
      <c r="I244" t="s">
        <v>211</v>
      </c>
      <c r="J244" s="5">
        <v>42004</v>
      </c>
      <c r="K244" t="s">
        <v>2716</v>
      </c>
      <c r="L244" s="4" t="str">
        <f t="shared" ca="1" si="6"/>
        <v>X</v>
      </c>
      <c r="M244" s="6" t="str">
        <f>IF(VLOOKUP($C$4,Working!$A$23:$L$52,Working!$F$21,0)="Y",TEXT($C$6,"YYYYMM")&amp;"_"&amp;$E244&amp;"_"&amp;Working!$B$11&amp;Working!$B$12,"")</f>
        <v>201703_VACVR_Top15.xlsx</v>
      </c>
      <c r="N244" s="6" t="str">
        <f>IF(VLOOKUP($C$4,Working!$A$23:$L$52,Working!$I$21,0)="Y",TEXT($C$6,"YYYYMM")&amp;"_"&amp;$E244&amp;"_"&amp;Working!$B$13&amp;Working!$B$14,"")</f>
        <v/>
      </c>
      <c r="O244" s="41"/>
      <c r="P244" s="41"/>
      <c r="Q244" s="41"/>
      <c r="R244" s="41"/>
      <c r="S244" s="41"/>
      <c r="T244" s="41"/>
      <c r="U244" s="41"/>
      <c r="V244" s="41"/>
      <c r="W244" s="4" t="s">
        <v>228</v>
      </c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1:45" s="10" customFormat="1" x14ac:dyDescent="0.3">
      <c r="A245">
        <v>3309</v>
      </c>
      <c r="B245" s="37" t="str">
        <f>VLOOKUP(A245,'Monthly EE List'!A:D,4,0)&amp;" "&amp;VLOOKUP(A245,'Monthly EE List'!A:D,3,0)</f>
        <v>IAN COLGUR</v>
      </c>
      <c r="C245" s="38" t="s">
        <v>3331</v>
      </c>
      <c r="D245" s="4" t="s">
        <v>599</v>
      </c>
      <c r="E245">
        <v>60431</v>
      </c>
      <c r="F245" t="s">
        <v>214</v>
      </c>
      <c r="G245" s="4" t="s">
        <v>244</v>
      </c>
      <c r="H245" s="4" t="str">
        <f>VLOOKUP(A245,'Monthly EE List'!A:G,7,0)</f>
        <v>A</v>
      </c>
      <c r="I245" t="s">
        <v>211</v>
      </c>
      <c r="J245" s="5">
        <v>42038</v>
      </c>
      <c r="K245" t="s">
        <v>551</v>
      </c>
      <c r="L245" s="4" t="str">
        <f t="shared" ca="1" si="6"/>
        <v/>
      </c>
      <c r="M245" s="6" t="str">
        <f>IF(VLOOKUP($C$4,Working!$A$23:$L$52,Working!$F$21,0)="Y",TEXT($C$6,"YYYYMM")&amp;"_"&amp;$E245&amp;"_"&amp;Working!$B$11&amp;Working!$B$12,"")</f>
        <v>201703_60431_Top15.xlsx</v>
      </c>
      <c r="N245" s="6" t="str">
        <f>IF(VLOOKUP($C$4,Working!$A$23:$L$52,Working!$I$21,0)="Y",TEXT($C$6,"YYYYMM")&amp;"_"&amp;$E245&amp;"_"&amp;Working!$B$13&amp;Working!$B$14,"")</f>
        <v/>
      </c>
      <c r="O245" s="4"/>
      <c r="P245" s="59"/>
      <c r="Q245" s="41" t="s">
        <v>228</v>
      </c>
      <c r="R245" s="41"/>
      <c r="S245" s="41"/>
      <c r="T245" s="41"/>
      <c r="U245" s="41"/>
      <c r="V245" s="59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1:45" s="10" customFormat="1" x14ac:dyDescent="0.3">
      <c r="A246">
        <v>3317</v>
      </c>
      <c r="B246" s="37" t="str">
        <f>VLOOKUP(A246,'Monthly EE List'!A:D,4,0)&amp;" "&amp;VLOOKUP(A246,'Monthly EE List'!A:D,3,0)</f>
        <v>JULIA LENTON</v>
      </c>
      <c r="C246" s="38" t="s">
        <v>3495</v>
      </c>
      <c r="D246" s="4" t="s">
        <v>599</v>
      </c>
      <c r="E246" t="s">
        <v>3496</v>
      </c>
      <c r="F246" t="s">
        <v>214</v>
      </c>
      <c r="G246" s="4" t="s">
        <v>142</v>
      </c>
      <c r="H246" s="4" t="str">
        <f>VLOOKUP(A246,'Monthly EE List'!A:G,7,0)</f>
        <v>A</v>
      </c>
      <c r="I246" t="s">
        <v>212</v>
      </c>
      <c r="J246" s="5">
        <v>42198</v>
      </c>
      <c r="K246" t="s">
        <v>2366</v>
      </c>
      <c r="L246" s="4" t="str">
        <f t="shared" ca="1" si="6"/>
        <v/>
      </c>
      <c r="M246" s="6" t="str">
        <f>IF(VLOOKUP($C$4,Working!$A$23:$L$52,Working!$F$21,0)="Y",TEXT($C$6,"YYYYMM")&amp;"_"&amp;$E246&amp;"_"&amp;Working!$B$11&amp;Working!$B$12,"")</f>
        <v>201703_WZ1JL_Top15.xlsx</v>
      </c>
      <c r="N246" s="6" t="str">
        <f>IF(VLOOKUP($C$4,Working!$A$23:$L$52,Working!$I$21,0)="Y",TEXT($C$6,"YYYYMM")&amp;"_"&amp;$E246&amp;"_"&amp;Working!$B$13&amp;Working!$B$14,"")</f>
        <v/>
      </c>
      <c r="O246" s="4" t="s">
        <v>228</v>
      </c>
      <c r="P246" s="4" t="s">
        <v>228</v>
      </c>
      <c r="Q246" s="41"/>
      <c r="R246" s="41"/>
      <c r="S246" s="41"/>
      <c r="T246" s="41"/>
      <c r="U246" s="41" t="s">
        <v>228</v>
      </c>
      <c r="V246" s="54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1:45" s="10" customFormat="1" x14ac:dyDescent="0.3">
      <c r="A247">
        <v>3318</v>
      </c>
      <c r="B247" s="37" t="str">
        <f>VLOOKUP(A247,'Monthly EE List'!A:D,4,0)&amp;" "&amp;VLOOKUP(A247,'Monthly EE List'!A:D,3,0)</f>
        <v>RICHARD PEDDLE</v>
      </c>
      <c r="C247" s="38" t="s">
        <v>3374</v>
      </c>
      <c r="D247" s="4" t="s">
        <v>599</v>
      </c>
      <c r="E247">
        <v>60432</v>
      </c>
      <c r="F247" t="s">
        <v>214</v>
      </c>
      <c r="G247" s="4" t="s">
        <v>244</v>
      </c>
      <c r="H247" s="4" t="str">
        <f>VLOOKUP(A247,'Monthly EE List'!A:G,7,0)</f>
        <v>A</v>
      </c>
      <c r="I247" t="s">
        <v>211</v>
      </c>
      <c r="J247" s="5">
        <v>42150</v>
      </c>
      <c r="K247" t="s">
        <v>551</v>
      </c>
      <c r="L247" s="4" t="str">
        <f t="shared" ca="1" si="6"/>
        <v/>
      </c>
      <c r="M247" s="6" t="str">
        <f>IF(VLOOKUP($C$4,Working!$A$23:$L$52,Working!$F$21,0)="Y",TEXT($C$6,"YYYYMM")&amp;"_"&amp;$E247&amp;"_"&amp;Working!$B$11&amp;Working!$B$12,"")</f>
        <v>201703_60432_Top15.xlsx</v>
      </c>
      <c r="N247" s="6" t="str">
        <f>IF(VLOOKUP($C$4,Working!$A$23:$L$52,Working!$I$21,0)="Y",TEXT($C$6,"YYYYMM")&amp;"_"&amp;$E247&amp;"_"&amp;Working!$B$13&amp;Working!$B$14,"")</f>
        <v/>
      </c>
      <c r="O247" s="4"/>
      <c r="P247" s="59"/>
      <c r="Q247" s="41" t="s">
        <v>228</v>
      </c>
      <c r="R247" s="41"/>
      <c r="S247" s="41"/>
      <c r="T247" s="41"/>
      <c r="U247" s="41"/>
      <c r="V247" s="59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1:45" s="10" customFormat="1" x14ac:dyDescent="0.3">
      <c r="A248">
        <v>3320</v>
      </c>
      <c r="B248" s="37" t="str">
        <f>VLOOKUP(A248,'Monthly EE List'!A:D,4,0)&amp;" "&amp;VLOOKUP(A248,'Monthly EE List'!A:D,3,0)</f>
        <v>CHAD PIPER</v>
      </c>
      <c r="C248" s="38" t="s">
        <v>3375</v>
      </c>
      <c r="D248" s="4" t="s">
        <v>599</v>
      </c>
      <c r="E248">
        <v>60433</v>
      </c>
      <c r="F248" t="s">
        <v>214</v>
      </c>
      <c r="G248" s="4" t="s">
        <v>244</v>
      </c>
      <c r="H248" s="4" t="str">
        <f>VLOOKUP(A248,'Monthly EE List'!A:G,7,0)</f>
        <v>A</v>
      </c>
      <c r="I248" t="s">
        <v>211</v>
      </c>
      <c r="J248" s="5">
        <v>42150</v>
      </c>
      <c r="K248" t="s">
        <v>551</v>
      </c>
      <c r="L248" s="4" t="str">
        <f t="shared" ca="1" si="6"/>
        <v/>
      </c>
      <c r="M248" s="6" t="str">
        <f>IF(VLOOKUP($C$4,Working!$A$23:$L$52,Working!$F$21,0)="Y",TEXT($C$6,"YYYYMM")&amp;"_"&amp;$E248&amp;"_"&amp;Working!$B$11&amp;Working!$B$12,"")</f>
        <v>201703_60433_Top15.xlsx</v>
      </c>
      <c r="N248" s="6" t="str">
        <f>IF(VLOOKUP($C$4,Working!$A$23:$L$52,Working!$I$21,0)="Y",TEXT($C$6,"YYYYMM")&amp;"_"&amp;$E248&amp;"_"&amp;Working!$B$13&amp;Working!$B$14,"")</f>
        <v/>
      </c>
      <c r="O248" s="4"/>
      <c r="P248" s="59"/>
      <c r="Q248" s="54"/>
      <c r="R248" s="41"/>
      <c r="S248" s="41"/>
      <c r="T248" s="41"/>
      <c r="U248" s="41"/>
      <c r="V248" s="59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1:45" s="10" customFormat="1" x14ac:dyDescent="0.3">
      <c r="A249">
        <v>3324</v>
      </c>
      <c r="B249" s="37" t="str">
        <f>VLOOKUP(A249,'Monthly EE List'!A:D,4,0)&amp;" "&amp;VLOOKUP(A249,'Monthly EE List'!A:D,3,0)</f>
        <v>SIEH MOORE</v>
      </c>
      <c r="C249" s="38" t="s">
        <v>3497</v>
      </c>
      <c r="D249" s="4" t="s">
        <v>599</v>
      </c>
      <c r="E249">
        <v>40330</v>
      </c>
      <c r="F249" t="s">
        <v>223</v>
      </c>
      <c r="G249" s="4" t="s">
        <v>244</v>
      </c>
      <c r="H249" s="4" t="str">
        <f>VLOOKUP(A249,'Monthly EE List'!A:G,7,0)</f>
        <v>A</v>
      </c>
      <c r="I249" t="s">
        <v>212</v>
      </c>
      <c r="J249" s="5">
        <v>42797</v>
      </c>
      <c r="K249" t="s">
        <v>571</v>
      </c>
      <c r="L249" s="4" t="str">
        <f t="shared" ca="1" si="6"/>
        <v/>
      </c>
      <c r="M249" s="6" t="str">
        <f>IF(VLOOKUP($C$4,Working!$A$23:$L$52,Working!$F$21,0)="Y",TEXT($C$6,"YYYYMM")&amp;"_"&amp;$E249&amp;"_"&amp;Working!$B$11&amp;Working!$B$12,"")</f>
        <v>201703_40330_Top15.xlsx</v>
      </c>
      <c r="N249" s="6" t="str">
        <f>IF(VLOOKUP($C$4,Working!$A$23:$L$52,Working!$I$21,0)="Y",TEXT($C$6,"YYYYMM")&amp;"_"&amp;$E249&amp;"_"&amp;Working!$B$13&amp;Working!$B$14,"")</f>
        <v/>
      </c>
      <c r="O249" s="4"/>
      <c r="P249" s="59"/>
      <c r="Q249" s="54"/>
      <c r="R249" s="41"/>
      <c r="S249" s="41"/>
      <c r="T249" s="41"/>
      <c r="U249" s="41"/>
      <c r="V249" s="5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1:45" s="10" customFormat="1" x14ac:dyDescent="0.3">
      <c r="A250">
        <v>3325</v>
      </c>
      <c r="B250" s="37" t="str">
        <f>VLOOKUP(A250,'Monthly EE List'!A:D,4,0)&amp;" "&amp;VLOOKUP(A250,'Monthly EE List'!A:D,3,0)</f>
        <v>ALEXANDER SALARDA</v>
      </c>
      <c r="C250" s="38" t="s">
        <v>3500</v>
      </c>
      <c r="D250" s="4" t="s">
        <v>599</v>
      </c>
      <c r="E250">
        <v>30617</v>
      </c>
      <c r="F250" t="s">
        <v>224</v>
      </c>
      <c r="G250" s="4" t="s">
        <v>244</v>
      </c>
      <c r="H250" s="4" t="str">
        <f>VLOOKUP(A250,'Monthly EE List'!A:G,7,0)</f>
        <v>A</v>
      </c>
      <c r="I250" t="s">
        <v>211</v>
      </c>
      <c r="J250" s="5">
        <v>42212</v>
      </c>
      <c r="K250" t="s">
        <v>551</v>
      </c>
      <c r="L250" s="4" t="str">
        <f t="shared" ca="1" si="6"/>
        <v/>
      </c>
      <c r="M250" s="6" t="str">
        <f>IF(VLOOKUP($C$4,Working!$A$23:$L$52,Working!$F$21,0)="Y",TEXT($C$6,"YYYYMM")&amp;"_"&amp;$E250&amp;"_"&amp;Working!$B$11&amp;Working!$B$12,"")</f>
        <v>201703_30617_Top15.xlsx</v>
      </c>
      <c r="N250" s="6" t="str">
        <f>IF(VLOOKUP($C$4,Working!$A$23:$L$52,Working!$I$21,0)="Y",TEXT($C$6,"YYYYMM")&amp;"_"&amp;$E250&amp;"_"&amp;Working!$B$13&amp;Working!$B$14,"")</f>
        <v/>
      </c>
      <c r="O250" s="4"/>
      <c r="P250" s="59"/>
      <c r="Q250" s="41" t="s">
        <v>228</v>
      </c>
      <c r="R250" s="41"/>
      <c r="S250" s="41"/>
      <c r="T250" s="41"/>
      <c r="U250" s="41"/>
      <c r="V250" s="59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1:45" s="10" customFormat="1" x14ac:dyDescent="0.3">
      <c r="A251">
        <v>3331</v>
      </c>
      <c r="B251" s="37" t="str">
        <f>VLOOKUP(A251,'Monthly EE List'!A:D,4,0)&amp;" "&amp;VLOOKUP(A251,'Monthly EE List'!A:D,3,0)</f>
        <v>JO-ANNE RICHARDSON</v>
      </c>
      <c r="C251" s="38" t="s">
        <v>3544</v>
      </c>
      <c r="D251" s="4" t="s">
        <v>599</v>
      </c>
      <c r="E251" t="s">
        <v>3558</v>
      </c>
      <c r="F251" t="s">
        <v>223</v>
      </c>
      <c r="G251" s="4" t="s">
        <v>142</v>
      </c>
      <c r="H251" s="4" t="str">
        <f>VLOOKUP(A251,'Monthly EE List'!A:G,7,0)</f>
        <v>A</v>
      </c>
      <c r="I251" t="s">
        <v>211</v>
      </c>
      <c r="J251" s="5">
        <v>42277</v>
      </c>
      <c r="K251" t="s">
        <v>147</v>
      </c>
      <c r="L251" s="4" t="str">
        <f t="shared" ca="1" si="6"/>
        <v/>
      </c>
      <c r="M251" s="6" t="str">
        <f>IF(VLOOKUP($C$4,Working!$A$23:$L$52,Working!$F$21,0)="Y",TEXT($C$6,"YYYYMM")&amp;"_"&amp;$E251&amp;"_"&amp;Working!$B$11&amp;Working!$B$12,"")</f>
        <v>201703_WZ1JR_Top15.xlsx</v>
      </c>
      <c r="N251" s="6" t="str">
        <f>IF(VLOOKUP($C$4,Working!$A$23:$L$52,Working!$I$21,0)="Y",TEXT($C$6,"YYYYMM")&amp;"_"&amp;$E251&amp;"_"&amp;Working!$B$13&amp;Working!$B$14,"")</f>
        <v/>
      </c>
      <c r="O251" s="4" t="s">
        <v>228</v>
      </c>
      <c r="P251" s="4" t="s">
        <v>228</v>
      </c>
      <c r="Q251" s="41"/>
      <c r="R251" s="41"/>
      <c r="S251" s="41"/>
      <c r="T251" s="41"/>
      <c r="U251" s="41" t="s">
        <v>228</v>
      </c>
      <c r="V251" s="59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1:45" s="10" customFormat="1" x14ac:dyDescent="0.3">
      <c r="A252">
        <v>3332</v>
      </c>
      <c r="B252" s="37" t="str">
        <f>VLOOKUP(A252,'Monthly EE List'!A:D,4,0)&amp;" "&amp;VLOOKUP(A252,'Monthly EE List'!A:D,3,0)</f>
        <v>MITCHELL RASMUSSEN</v>
      </c>
      <c r="C252" s="38" t="s">
        <v>3545</v>
      </c>
      <c r="D252" s="4" t="s">
        <v>599</v>
      </c>
      <c r="E252">
        <v>78024</v>
      </c>
      <c r="F252" t="s">
        <v>225</v>
      </c>
      <c r="G252" s="4" t="s">
        <v>244</v>
      </c>
      <c r="H252" s="4" t="str">
        <f>VLOOKUP(A252,'Monthly EE List'!A:G,7,0)</f>
        <v>A</v>
      </c>
      <c r="I252" t="s">
        <v>211</v>
      </c>
      <c r="J252" s="5">
        <v>42277</v>
      </c>
      <c r="K252" t="s">
        <v>551</v>
      </c>
      <c r="L252" s="4" t="str">
        <f t="shared" ca="1" si="6"/>
        <v/>
      </c>
      <c r="M252" s="6" t="str">
        <f>IF(VLOOKUP($C$4,Working!$A$23:$L$52,Working!$F$21,0)="Y",TEXT($C$6,"YYYYMM")&amp;"_"&amp;$E252&amp;"_"&amp;Working!$B$11&amp;Working!$B$12,"")</f>
        <v>201703_78024_Top15.xlsx</v>
      </c>
      <c r="N252" s="6" t="str">
        <f>IF(VLOOKUP($C$4,Working!$A$23:$L$52,Working!$I$21,0)="Y",TEXT($C$6,"YYYYMM")&amp;"_"&amp;$E252&amp;"_"&amp;Working!$B$13&amp;Working!$B$14,"")</f>
        <v/>
      </c>
      <c r="O252" s="4"/>
      <c r="P252" s="59"/>
      <c r="Q252" s="41" t="s">
        <v>228</v>
      </c>
      <c r="R252" s="41"/>
      <c r="S252" s="41"/>
      <c r="T252" s="41"/>
      <c r="U252" s="41"/>
      <c r="V252" s="59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1:45" s="10" customFormat="1" x14ac:dyDescent="0.3">
      <c r="A253">
        <v>3335</v>
      </c>
      <c r="B253" s="37" t="str">
        <f>VLOOKUP(A253,'Monthly EE List'!A:D,4,0)&amp;" "&amp;VLOOKUP(A253,'Monthly EE List'!A:D,3,0)</f>
        <v>ANDRE LIEW</v>
      </c>
      <c r="C253" s="38" t="s">
        <v>3583</v>
      </c>
      <c r="D253" s="4" t="s">
        <v>599</v>
      </c>
      <c r="E253" t="s">
        <v>3584</v>
      </c>
      <c r="F253" t="s">
        <v>214</v>
      </c>
      <c r="G253" s="4" t="s">
        <v>142</v>
      </c>
      <c r="H253" s="4" t="str">
        <f>VLOOKUP(A253,'Monthly EE List'!A:G,7,0)</f>
        <v>A</v>
      </c>
      <c r="I253" t="s">
        <v>211</v>
      </c>
      <c r="J253" s="5">
        <v>42324</v>
      </c>
      <c r="K253" t="s">
        <v>147</v>
      </c>
      <c r="L253" s="4" t="str">
        <f t="shared" ca="1" si="6"/>
        <v/>
      </c>
      <c r="M253" s="6" t="str">
        <f>IF(VLOOKUP($C$4,Working!$A$23:$L$52,Working!$F$21,0)="Y",TEXT($C$6,"YYYYMM")&amp;"_"&amp;$E253&amp;"_"&amp;Working!$B$11&amp;Working!$B$12,"")</f>
        <v>201703_WZ1AL_Top15.xlsx</v>
      </c>
      <c r="N253" s="6" t="str">
        <f>IF(VLOOKUP($C$4,Working!$A$23:$L$52,Working!$I$21,0)="Y",TEXT($C$6,"YYYYMM")&amp;"_"&amp;$E253&amp;"_"&amp;Working!$B$13&amp;Working!$B$14,"")</f>
        <v/>
      </c>
      <c r="O253" s="4" t="s">
        <v>228</v>
      </c>
      <c r="P253" s="4" t="s">
        <v>228</v>
      </c>
      <c r="Q253" s="41"/>
      <c r="R253" s="41"/>
      <c r="S253" s="41"/>
      <c r="T253" s="41"/>
      <c r="U253" s="41" t="s">
        <v>228</v>
      </c>
      <c r="V253" s="59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1:45" s="10" customFormat="1" x14ac:dyDescent="0.3">
      <c r="A254">
        <v>3337</v>
      </c>
      <c r="B254" s="37" t="str">
        <f>VLOOKUP(A254,'Monthly EE List'!A:D,4,0)&amp;" "&amp;VLOOKUP(A254,'Monthly EE List'!A:D,3,0)</f>
        <v>GRAHAM MANN</v>
      </c>
      <c r="C254" s="38" t="s">
        <v>3633</v>
      </c>
      <c r="D254" s="4" t="s">
        <v>599</v>
      </c>
      <c r="E254">
        <v>40331</v>
      </c>
      <c r="F254" t="s">
        <v>223</v>
      </c>
      <c r="G254" s="4" t="s">
        <v>244</v>
      </c>
      <c r="H254" s="4" t="str">
        <f>VLOOKUP(A254,'Monthly EE List'!A:G,7,0)</f>
        <v>A</v>
      </c>
      <c r="I254" t="s">
        <v>211</v>
      </c>
      <c r="J254" s="5">
        <v>42419</v>
      </c>
      <c r="K254" t="s">
        <v>551</v>
      </c>
      <c r="L254" s="4" t="str">
        <f t="shared" ca="1" si="6"/>
        <v/>
      </c>
      <c r="M254" s="6" t="str">
        <f>IF(VLOOKUP($C$4,Working!$A$23:$L$52,Working!$F$21,0)="Y",TEXT($C$6,"YYYYMM")&amp;"_"&amp;$E254&amp;"_"&amp;Working!$B$11&amp;Working!$B$12,"")</f>
        <v>201703_40331_Top15.xlsx</v>
      </c>
      <c r="N254" s="6" t="str">
        <f>IF(VLOOKUP($C$4,Working!$A$23:$L$52,Working!$I$21,0)="Y",TEXT($C$6,"YYYYMM")&amp;"_"&amp;$E254&amp;"_"&amp;Working!$B$13&amp;Working!$B$14,"")</f>
        <v/>
      </c>
      <c r="O254" s="4"/>
      <c r="P254" s="59"/>
      <c r="Q254" s="41" t="s">
        <v>228</v>
      </c>
      <c r="R254" s="41"/>
      <c r="S254" s="41"/>
      <c r="T254" s="41"/>
      <c r="U254" s="41"/>
      <c r="V254" s="59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1:45" s="10" customFormat="1" x14ac:dyDescent="0.3">
      <c r="A255">
        <v>3338</v>
      </c>
      <c r="B255" s="37" t="str">
        <f>VLOOKUP(A255,'Monthly EE List'!A:D,4,0)&amp;" "&amp;VLOOKUP(A255,'Monthly EE List'!A:D,3,0)</f>
        <v>DANIEL NICHOLAICHUK</v>
      </c>
      <c r="C255" s="38" t="s">
        <v>3649</v>
      </c>
      <c r="D255" s="4" t="s">
        <v>599</v>
      </c>
      <c r="E255">
        <v>40332</v>
      </c>
      <c r="F255" t="s">
        <v>223</v>
      </c>
      <c r="G255" s="4" t="s">
        <v>244</v>
      </c>
      <c r="H255" s="4" t="str">
        <f>VLOOKUP(A255,'Monthly EE List'!A:G,7,0)</f>
        <v>A</v>
      </c>
      <c r="I255" t="s">
        <v>211</v>
      </c>
      <c r="J255" s="5">
        <v>42431</v>
      </c>
      <c r="K255" t="s">
        <v>551</v>
      </c>
      <c r="L255" s="4" t="str">
        <f t="shared" ca="1" si="6"/>
        <v/>
      </c>
      <c r="M255" s="6" t="str">
        <f>IF(VLOOKUP($C$4,Working!$A$23:$L$52,Working!$F$21,0)="Y",TEXT($C$6,"YYYYMM")&amp;"_"&amp;$E255&amp;"_"&amp;Working!$B$11&amp;Working!$B$12,"")</f>
        <v>201703_40332_Top15.xlsx</v>
      </c>
      <c r="N255" s="6" t="str">
        <f>IF(VLOOKUP($C$4,Working!$A$23:$L$52,Working!$I$21,0)="Y",TEXT($C$6,"YYYYMM")&amp;"_"&amp;$E255&amp;"_"&amp;Working!$B$13&amp;Working!$B$14,"")</f>
        <v/>
      </c>
      <c r="O255" s="4"/>
      <c r="P255" s="59"/>
      <c r="Q255" s="41" t="s">
        <v>228</v>
      </c>
      <c r="R255" s="41"/>
      <c r="S255" s="41"/>
      <c r="T255" s="41"/>
      <c r="U255" s="41"/>
      <c r="V255" s="59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1:45" s="10" customFormat="1" x14ac:dyDescent="0.3">
      <c r="A256">
        <v>3340</v>
      </c>
      <c r="B256" s="37" t="str">
        <f>VLOOKUP(A256,'Monthly EE List'!A:D,4,0)&amp;" "&amp;VLOOKUP(A256,'Monthly EE List'!A:D,3,0)</f>
        <v>MARC WAGNER</v>
      </c>
      <c r="C256" s="38" t="s">
        <v>3667</v>
      </c>
      <c r="D256" s="4" t="s">
        <v>599</v>
      </c>
      <c r="E256" t="s">
        <v>3674</v>
      </c>
      <c r="F256" t="s">
        <v>214</v>
      </c>
      <c r="G256" s="4" t="s">
        <v>142</v>
      </c>
      <c r="H256" s="4" t="str">
        <f>VLOOKUP(A256,'Monthly EE List'!A:G,7,0)</f>
        <v>A</v>
      </c>
      <c r="I256" t="s">
        <v>211</v>
      </c>
      <c r="J256" s="5">
        <v>42471</v>
      </c>
      <c r="K256" t="s">
        <v>147</v>
      </c>
      <c r="L256" s="4" t="str">
        <f t="shared" ca="1" si="6"/>
        <v/>
      </c>
      <c r="M256" s="6" t="str">
        <f>IF(VLOOKUP($C$4,Working!$A$23:$L$52,Working!$F$21,0)="Y",TEXT($C$6,"YYYYMM")&amp;"_"&amp;$E256&amp;"_"&amp;Working!$B$11&amp;Working!$B$12,"")</f>
        <v>201703_WZ1MW_Top15.xlsx</v>
      </c>
      <c r="N256" s="6" t="str">
        <f>IF(VLOOKUP($C$4,Working!$A$23:$L$52,Working!$I$21,0)="Y",TEXT($C$6,"YYYYMM")&amp;"_"&amp;$E256&amp;"_"&amp;Working!$B$13&amp;Working!$B$14,"")</f>
        <v/>
      </c>
      <c r="O256" s="4" t="s">
        <v>228</v>
      </c>
      <c r="P256" s="4" t="s">
        <v>228</v>
      </c>
      <c r="Q256" s="41"/>
      <c r="R256" s="41"/>
      <c r="S256" s="41"/>
      <c r="T256" s="41"/>
      <c r="U256" s="4" t="s">
        <v>228</v>
      </c>
      <c r="V256" s="59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1:45" s="10" customFormat="1" x14ac:dyDescent="0.3">
      <c r="A257">
        <v>3342</v>
      </c>
      <c r="B257" s="37" t="str">
        <f>VLOOKUP(A257,'Monthly EE List'!A:D,4,0)&amp;" "&amp;VLOOKUP(A257,'Monthly EE List'!A:D,3,0)</f>
        <v>BABAR MEMON</v>
      </c>
      <c r="C257" s="38" t="s">
        <v>3685</v>
      </c>
      <c r="D257" s="4" t="s">
        <v>599</v>
      </c>
      <c r="E257">
        <v>40334</v>
      </c>
      <c r="F257" t="s">
        <v>223</v>
      </c>
      <c r="G257" s="4" t="s">
        <v>244</v>
      </c>
      <c r="H257" s="4" t="str">
        <f>VLOOKUP(A257,'Monthly EE List'!A:G,7,0)</f>
        <v>A</v>
      </c>
      <c r="I257" t="s">
        <v>211</v>
      </c>
      <c r="J257" s="5">
        <v>42486</v>
      </c>
      <c r="K257" t="s">
        <v>551</v>
      </c>
      <c r="L257" s="4" t="str">
        <f t="shared" ca="1" si="6"/>
        <v/>
      </c>
      <c r="M257" s="6" t="str">
        <f>IF(VLOOKUP($C$4,Working!$A$23:$L$52,Working!$F$21,0)="Y",TEXT($C$6,"YYYYMM")&amp;"_"&amp;$E257&amp;"_"&amp;Working!$B$11&amp;Working!$B$12,"")</f>
        <v>201703_40334_Top15.xlsx</v>
      </c>
      <c r="N257" s="6" t="str">
        <f>IF(VLOOKUP($C$4,Working!$A$23:$L$52,Working!$I$21,0)="Y",TEXT($C$6,"YYYYMM")&amp;"_"&amp;$E257&amp;"_"&amp;Working!$B$13&amp;Working!$B$14,"")</f>
        <v/>
      </c>
      <c r="O257" s="4"/>
      <c r="P257" s="59"/>
      <c r="Q257" s="41" t="s">
        <v>228</v>
      </c>
      <c r="R257" s="41"/>
      <c r="S257" s="41"/>
      <c r="T257" s="41"/>
      <c r="U257" s="41"/>
      <c r="V257" s="59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1:45" s="10" customFormat="1" x14ac:dyDescent="0.3">
      <c r="A258">
        <v>3343</v>
      </c>
      <c r="B258" s="37" t="str">
        <f>VLOOKUP(A258,'Monthly EE List'!A:D,4,0)&amp;" "&amp;VLOOKUP(A258,'Monthly EE List'!A:D,3,0)</f>
        <v>MAGED SOLIMAN</v>
      </c>
      <c r="C258" s="38" t="s">
        <v>3699</v>
      </c>
      <c r="D258" s="4" t="s">
        <v>599</v>
      </c>
      <c r="E258" t="s">
        <v>3701</v>
      </c>
      <c r="F258" t="s">
        <v>223</v>
      </c>
      <c r="G258" s="4" t="s">
        <v>142</v>
      </c>
      <c r="H258" s="4" t="str">
        <f>VLOOKUP(A258,'Monthly EE List'!A:G,7,0)</f>
        <v>A</v>
      </c>
      <c r="I258" t="s">
        <v>211</v>
      </c>
      <c r="J258" s="5">
        <v>42534</v>
      </c>
      <c r="K258" t="s">
        <v>147</v>
      </c>
      <c r="L258" s="4" t="str">
        <f t="shared" ca="1" si="6"/>
        <v/>
      </c>
      <c r="M258" s="6" t="str">
        <f>IF(VLOOKUP($C$4,Working!$A$23:$L$52,Working!$F$21,0)="Y",TEXT($C$6,"YYYYMM")&amp;"_"&amp;$E258&amp;"_"&amp;Working!$B$11&amp;Working!$B$12,"")</f>
        <v>201703_WZ1MS_Top15.xlsx</v>
      </c>
      <c r="N258" s="6" t="str">
        <f>IF(VLOOKUP($C$4,Working!$A$23:$L$52,Working!$I$21,0)="Y",TEXT($C$6,"YYYYMM")&amp;"_"&amp;$E258&amp;"_"&amp;Working!$B$13&amp;Working!$B$14,"")</f>
        <v/>
      </c>
      <c r="O258" s="4" t="s">
        <v>228</v>
      </c>
      <c r="P258" s="4" t="s">
        <v>228</v>
      </c>
      <c r="Q258" s="41"/>
      <c r="R258" s="41"/>
      <c r="S258" s="41"/>
      <c r="T258" s="41"/>
      <c r="U258" s="41" t="s">
        <v>228</v>
      </c>
      <c r="V258" s="59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1:45" s="10" customFormat="1" x14ac:dyDescent="0.3">
      <c r="A259">
        <v>3345</v>
      </c>
      <c r="B259" s="37" t="str">
        <f>VLOOKUP(A259,'Monthly EE List'!A:D,4,0)&amp;" "&amp;VLOOKUP(A259,'Monthly EE List'!A:D,3,0)</f>
        <v>KYLE COX</v>
      </c>
      <c r="C259" s="38" t="s">
        <v>3722</v>
      </c>
      <c r="D259" s="4" t="s">
        <v>599</v>
      </c>
      <c r="E259">
        <v>60434</v>
      </c>
      <c r="F259" t="s">
        <v>214</v>
      </c>
      <c r="G259" s="4" t="s">
        <v>244</v>
      </c>
      <c r="H259" s="4" t="str">
        <f>VLOOKUP(A259,'Monthly EE List'!A:G,7,0)</f>
        <v>A</v>
      </c>
      <c r="I259" t="s">
        <v>211</v>
      </c>
      <c r="J259" s="5">
        <v>42543</v>
      </c>
      <c r="K259" t="s">
        <v>551</v>
      </c>
      <c r="L259" s="4" t="str">
        <f t="shared" ca="1" si="6"/>
        <v/>
      </c>
      <c r="M259" s="6" t="str">
        <f>IF(VLOOKUP($C$4,Working!$A$23:$L$52,Working!$F$21,0)="Y",TEXT($C$6,"YYYYMM")&amp;"_"&amp;$E259&amp;"_"&amp;Working!$B$11&amp;Working!$B$12,"")</f>
        <v>201703_60434_Top15.xlsx</v>
      </c>
      <c r="N259" s="6" t="str">
        <f>IF(VLOOKUP($C$4,Working!$A$23:$L$52,Working!$I$21,0)="Y",TEXT($C$6,"YYYYMM")&amp;"_"&amp;$E259&amp;"_"&amp;Working!$B$13&amp;Working!$B$14,"")</f>
        <v/>
      </c>
      <c r="O259" s="4"/>
      <c r="P259" s="59"/>
      <c r="Q259" s="54"/>
      <c r="R259" s="41"/>
      <c r="S259" s="41"/>
      <c r="T259" s="41"/>
      <c r="U259" s="41"/>
      <c r="V259" s="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1:45" s="10" customFormat="1" x14ac:dyDescent="0.3">
      <c r="A260">
        <v>3346</v>
      </c>
      <c r="B260" s="37" t="str">
        <f>VLOOKUP(A260,'Monthly EE List'!A:D,4,0)&amp;" "&amp;VLOOKUP(A260,'Monthly EE List'!A:D,3,0)</f>
        <v>DON FLEMING</v>
      </c>
      <c r="C260" s="38" t="s">
        <v>3706</v>
      </c>
      <c r="D260" s="4" t="s">
        <v>599</v>
      </c>
      <c r="E260" t="s">
        <v>3725</v>
      </c>
      <c r="F260" t="s">
        <v>214</v>
      </c>
      <c r="G260" s="4" t="s">
        <v>142</v>
      </c>
      <c r="H260" s="4" t="str">
        <f>VLOOKUP(A260,'Monthly EE List'!A:G,7,0)</f>
        <v>A</v>
      </c>
      <c r="I260" t="s">
        <v>211</v>
      </c>
      <c r="J260" s="5">
        <v>42542</v>
      </c>
      <c r="K260" t="s">
        <v>147</v>
      </c>
      <c r="L260" s="4" t="str">
        <f t="shared" ca="1" si="6"/>
        <v/>
      </c>
      <c r="M260" s="6" t="str">
        <f>IF(VLOOKUP($C$4,Working!$A$23:$L$52,Working!$F$21,0)="Y",TEXT($C$6,"YYYYMM")&amp;"_"&amp;$E260&amp;"_"&amp;Working!$B$11&amp;Working!$B$12,"")</f>
        <v>201703_WZ1DF_Top15.xlsx</v>
      </c>
      <c r="N260" s="6" t="str">
        <f>IF(VLOOKUP($C$4,Working!$A$23:$L$52,Working!$I$21,0)="Y",TEXT($C$6,"YYYYMM")&amp;"_"&amp;$E260&amp;"_"&amp;Working!$B$13&amp;Working!$B$14,"")</f>
        <v/>
      </c>
      <c r="O260" s="4" t="s">
        <v>228</v>
      </c>
      <c r="P260" s="4" t="s">
        <v>228</v>
      </c>
      <c r="Q260" s="41"/>
      <c r="R260" s="41"/>
      <c r="S260" s="41"/>
      <c r="T260" s="41"/>
      <c r="U260" s="4" t="s">
        <v>228</v>
      </c>
      <c r="V260" s="59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1:45" s="10" customFormat="1" x14ac:dyDescent="0.3">
      <c r="A261">
        <v>3347</v>
      </c>
      <c r="B261" s="37" t="str">
        <f>VLOOKUP(A261,'Monthly EE List'!A:D,4,0)&amp;" "&amp;VLOOKUP(A261,'Monthly EE List'!A:D,3,0)</f>
        <v>KEVIN BOYD</v>
      </c>
      <c r="C261" s="38" t="s">
        <v>3727</v>
      </c>
      <c r="D261" s="4" t="s">
        <v>599</v>
      </c>
      <c r="E261">
        <v>30619</v>
      </c>
      <c r="F261" t="s">
        <v>224</v>
      </c>
      <c r="G261" s="4" t="s">
        <v>244</v>
      </c>
      <c r="H261" s="4" t="str">
        <f>VLOOKUP(A261,'Monthly EE List'!A:G,7,0)</f>
        <v>A</v>
      </c>
      <c r="I261" t="s">
        <v>211</v>
      </c>
      <c r="J261" s="5">
        <v>42569</v>
      </c>
      <c r="K261" t="s">
        <v>551</v>
      </c>
      <c r="L261" s="4" t="str">
        <f t="shared" ca="1" si="6"/>
        <v/>
      </c>
      <c r="M261" s="6" t="str">
        <f>IF(VLOOKUP($C$4,Working!$A$23:$L$52,Working!$F$21,0)="Y",TEXT($C$6,"YYYYMM")&amp;"_"&amp;$E261&amp;"_"&amp;Working!$B$11&amp;Working!$B$12,"")</f>
        <v>201703_30619_Top15.xlsx</v>
      </c>
      <c r="N261" s="6" t="str">
        <f>IF(VLOOKUP($C$4,Working!$A$23:$L$52,Working!$I$21,0)="Y",TEXT($C$6,"YYYYMM")&amp;"_"&amp;$E261&amp;"_"&amp;Working!$B$13&amp;Working!$B$14,"")</f>
        <v/>
      </c>
      <c r="O261" s="4"/>
      <c r="P261" s="59"/>
      <c r="Q261" s="54"/>
      <c r="R261" s="41"/>
      <c r="S261" s="41"/>
      <c r="T261" s="41"/>
      <c r="U261" s="41"/>
      <c r="V261" s="59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1:45" s="10" customFormat="1" x14ac:dyDescent="0.3">
      <c r="A262">
        <v>3350</v>
      </c>
      <c r="B262" s="37" t="str">
        <f>VLOOKUP(A262,'Monthly EE List'!A:D,4,0)&amp;" "&amp;VLOOKUP(A262,'Monthly EE List'!A:D,3,0)</f>
        <v>ADAM JONES</v>
      </c>
      <c r="C262" s="38" t="s">
        <v>3778</v>
      </c>
      <c r="D262" s="4" t="s">
        <v>599</v>
      </c>
      <c r="E262" t="s">
        <v>3784</v>
      </c>
      <c r="F262" t="s">
        <v>214</v>
      </c>
      <c r="G262" s="4" t="s">
        <v>3007</v>
      </c>
      <c r="H262" s="4" t="str">
        <f>VLOOKUP(A262,'Monthly EE List'!A:G,7,0)</f>
        <v>A</v>
      </c>
      <c r="I262" t="s">
        <v>211</v>
      </c>
      <c r="J262" s="5">
        <v>42640</v>
      </c>
      <c r="K262" t="s">
        <v>3785</v>
      </c>
      <c r="L262" s="4" t="str">
        <f t="shared" ca="1" si="6"/>
        <v/>
      </c>
      <c r="M262" s="6" t="str">
        <f>IF(VLOOKUP($C$4,Working!$A$23:$L$52,Working!$F$21,0)="Y",TEXT($C$6,"YYYYMM")&amp;"_"&amp;$E262&amp;"_"&amp;Working!$B$11&amp;Working!$B$12,"")</f>
        <v>201703_WZ1AJ_Top15.xlsx</v>
      </c>
      <c r="N262" s="6" t="str">
        <f>IF(VLOOKUP($C$4,Working!$A$23:$L$52,Working!$I$21,0)="Y",TEXT($C$6,"YYYYMM")&amp;"_"&amp;$E262&amp;"_"&amp;Working!$B$13&amp;Working!$B$14,"")</f>
        <v/>
      </c>
      <c r="O262" s="4" t="s">
        <v>228</v>
      </c>
      <c r="P262" s="4"/>
      <c r="Q262" s="4"/>
      <c r="R262" s="41"/>
      <c r="S262" s="41"/>
      <c r="T262" s="41"/>
      <c r="U262" s="41" t="s">
        <v>228</v>
      </c>
      <c r="V262" s="4"/>
      <c r="W262" s="4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1:45" s="10" customFormat="1" x14ac:dyDescent="0.3">
      <c r="A263">
        <v>3350</v>
      </c>
      <c r="B263" s="37" t="str">
        <f>VLOOKUP(A263,'Monthly EE List'!A:D,4,0)&amp;" "&amp;VLOOKUP(A263,'Monthly EE List'!A:D,3,0)</f>
        <v>ADAM JONES</v>
      </c>
      <c r="C263" s="38" t="s">
        <v>3778</v>
      </c>
      <c r="D263" s="4" t="s">
        <v>599</v>
      </c>
      <c r="E263" t="s">
        <v>214</v>
      </c>
      <c r="F263" t="s">
        <v>214</v>
      </c>
      <c r="G263" s="4" t="s">
        <v>3007</v>
      </c>
      <c r="H263" s="4" t="str">
        <f>VLOOKUP(A263,'Monthly EE List'!A:G,7,0)</f>
        <v>A</v>
      </c>
      <c r="I263" t="s">
        <v>211</v>
      </c>
      <c r="J263" s="5">
        <v>42621</v>
      </c>
      <c r="K263" t="s">
        <v>2716</v>
      </c>
      <c r="L263" s="4" t="str">
        <f t="shared" ca="1" si="6"/>
        <v>X</v>
      </c>
      <c r="M263" s="6" t="str">
        <f>IF(VLOOKUP($C$4,Working!$A$23:$L$52,Working!$F$21,0)="Y",TEXT($C$6,"YYYYMM")&amp;"_"&amp;$E263&amp;"_"&amp;Working!$B$11&amp;Working!$B$12,"")</f>
        <v>201703_VACVR_Top15.xlsx</v>
      </c>
      <c r="N263" s="6" t="str">
        <f>IF(VLOOKUP($C$4,Working!$A$23:$L$52,Working!$I$21,0)="Y",TEXT($C$6,"YYYYMM")&amp;"_"&amp;$E263&amp;"_"&amp;Working!$B$13&amp;Working!$B$14,"")</f>
        <v/>
      </c>
      <c r="O263" s="4"/>
      <c r="P263" s="4"/>
      <c r="Q263" s="4"/>
      <c r="R263" s="41"/>
      <c r="S263" s="41"/>
      <c r="T263" s="41"/>
      <c r="U263" s="41"/>
      <c r="V263" s="4"/>
      <c r="W263" s="4" t="s">
        <v>228</v>
      </c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1:45" s="10" customFormat="1" x14ac:dyDescent="0.3">
      <c r="A264">
        <v>4002</v>
      </c>
      <c r="B264" s="37" t="str">
        <f>VLOOKUP(A264,'Monthly EE List'!A:D,4,0)&amp;" "&amp;VLOOKUP(A264,'Monthly EE List'!A:D,3,0)</f>
        <v>GERRY FRASER</v>
      </c>
      <c r="C264" s="38" t="s">
        <v>2436</v>
      </c>
      <c r="D264" s="4" t="s">
        <v>599</v>
      </c>
      <c r="E264" t="s">
        <v>2437</v>
      </c>
      <c r="F264" t="s">
        <v>218</v>
      </c>
      <c r="G264" s="4" t="s">
        <v>3008</v>
      </c>
      <c r="H264" s="4" t="str">
        <f>VLOOKUP(A264,'Monthly EE List'!A:G,7,0)</f>
        <v>A</v>
      </c>
      <c r="I264" t="s">
        <v>211</v>
      </c>
      <c r="J264" s="5">
        <v>40854</v>
      </c>
      <c r="K264" t="s">
        <v>2502</v>
      </c>
      <c r="L264" s="4" t="str">
        <f t="shared" ca="1" si="6"/>
        <v/>
      </c>
      <c r="M264" s="6" t="str">
        <f>IF(VLOOKUP($C$4,Working!$A$23:$L$52,Working!$F$21,0)="Y",TEXT($C$6,"YYYYMM")&amp;"_"&amp;$E264&amp;"_"&amp;Working!$B$11&amp;Working!$B$12,"")</f>
        <v>201703_CZ1GF_Top15.xlsx</v>
      </c>
      <c r="N264" s="6" t="str">
        <f>IF(VLOOKUP($C$4,Working!$A$23:$L$52,Working!$I$21,0)="Y",TEXT($C$6,"YYYYMM")&amp;"_"&amp;$E264&amp;"_"&amp;Working!$B$13&amp;Working!$B$14,"")</f>
        <v/>
      </c>
      <c r="O264" s="4" t="s">
        <v>228</v>
      </c>
      <c r="P264" s="4" t="s">
        <v>228</v>
      </c>
      <c r="Q264" s="41"/>
      <c r="R264" s="41"/>
      <c r="S264" s="41"/>
      <c r="T264" s="41"/>
      <c r="U264" s="4" t="s">
        <v>228</v>
      </c>
      <c r="V264" s="5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1:45" s="10" customFormat="1" x14ac:dyDescent="0.3">
      <c r="A265">
        <v>4002</v>
      </c>
      <c r="B265" s="37" t="str">
        <f>VLOOKUP(A265,'Monthly EE List'!A:D,4,0)&amp;" "&amp;VLOOKUP(A265,'Monthly EE List'!A:D,3,0)</f>
        <v>GERRY FRASER</v>
      </c>
      <c r="C265" s="38" t="s">
        <v>2436</v>
      </c>
      <c r="D265" s="4" t="s">
        <v>599</v>
      </c>
      <c r="E265" t="s">
        <v>2438</v>
      </c>
      <c r="F265" t="s">
        <v>215</v>
      </c>
      <c r="G265" s="4" t="s">
        <v>3008</v>
      </c>
      <c r="H265" s="4" t="str">
        <f>VLOOKUP(A265,'Monthly EE List'!A:G,7,0)</f>
        <v>A</v>
      </c>
      <c r="I265" t="s">
        <v>211</v>
      </c>
      <c r="J265" s="5">
        <v>40854</v>
      </c>
      <c r="K265" t="s">
        <v>2616</v>
      </c>
      <c r="L265" s="4" t="str">
        <f t="shared" ca="1" si="6"/>
        <v/>
      </c>
      <c r="M265" s="6" t="str">
        <f>IF(VLOOKUP($C$4,Working!$A$23:$L$52,Working!$F$21,0)="Y",TEXT($C$6,"YYYYMM")&amp;"_"&amp;$E265&amp;"_"&amp;Working!$B$11&amp;Working!$B$12,"")</f>
        <v>201703_CZ1G2_Top15.xlsx</v>
      </c>
      <c r="N265" s="6" t="str">
        <f>IF(VLOOKUP($C$4,Working!$A$23:$L$52,Working!$I$21,0)="Y",TEXT($C$6,"YYYYMM")&amp;"_"&amp;$E265&amp;"_"&amp;Working!$B$13&amp;Working!$B$14,"")</f>
        <v/>
      </c>
      <c r="O265" s="4" t="s">
        <v>228</v>
      </c>
      <c r="P265" s="54"/>
      <c r="Q265" s="41"/>
      <c r="R265" s="41"/>
      <c r="S265" s="41"/>
      <c r="T265" s="41"/>
      <c r="U265" s="4" t="s">
        <v>228</v>
      </c>
      <c r="V265" s="4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1:45" s="10" customFormat="1" x14ac:dyDescent="0.3">
      <c r="A266">
        <v>4008</v>
      </c>
      <c r="B266" s="37" t="str">
        <f>VLOOKUP(A266,'Monthly EE List'!A:D,4,0)&amp;" "&amp;VLOOKUP(A266,'Monthly EE List'!A:D,3,0)</f>
        <v>MARTIN DAVID</v>
      </c>
      <c r="C266" s="38" t="s">
        <v>2545</v>
      </c>
      <c r="D266" s="4" t="s">
        <v>599</v>
      </c>
      <c r="E266">
        <v>51443</v>
      </c>
      <c r="F266" t="s">
        <v>217</v>
      </c>
      <c r="G266" s="4" t="s">
        <v>244</v>
      </c>
      <c r="H266" s="4" t="str">
        <f>VLOOKUP(A266,'Monthly EE List'!A:G,7,0)</f>
        <v>A</v>
      </c>
      <c r="I266" t="s">
        <v>211</v>
      </c>
      <c r="J266" s="5">
        <v>41975</v>
      </c>
      <c r="K266" t="s">
        <v>551</v>
      </c>
      <c r="L266" s="4" t="str">
        <f t="shared" ca="1" si="6"/>
        <v/>
      </c>
      <c r="M266" s="6" t="str">
        <f>IF(VLOOKUP($C$4,Working!$A$23:$L$52,Working!$F$21,0)="Y",TEXT($C$6,"YYYYMM")&amp;"_"&amp;$E266&amp;"_"&amp;Working!$B$11&amp;Working!$B$12,"")</f>
        <v>201703_51443_Top15.xlsx</v>
      </c>
      <c r="N266" s="6" t="str">
        <f>IF(VLOOKUP($C$4,Working!$A$23:$L$52,Working!$I$21,0)="Y",TEXT($C$6,"YYYYMM")&amp;"_"&amp;$E266&amp;"_"&amp;Working!$B$13&amp;Working!$B$14,"")</f>
        <v/>
      </c>
      <c r="O266" s="4"/>
      <c r="P266" s="59"/>
      <c r="Q266" s="41" t="s">
        <v>228</v>
      </c>
      <c r="R266" s="41"/>
      <c r="S266" s="41"/>
      <c r="T266" s="41"/>
      <c r="U266" s="41"/>
      <c r="V266" s="59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1:45" s="10" customFormat="1" x14ac:dyDescent="0.3">
      <c r="A267">
        <v>4015</v>
      </c>
      <c r="B267" s="37" t="str">
        <f>VLOOKUP(A267,'Monthly EE List'!A:D,4,0)&amp;" "&amp;VLOOKUP(A267,'Monthly EE List'!A:D,3,0)</f>
        <v>SIMON GILES</v>
      </c>
      <c r="C267" s="38" t="s">
        <v>2543</v>
      </c>
      <c r="D267" s="4" t="s">
        <v>599</v>
      </c>
      <c r="E267">
        <v>41669</v>
      </c>
      <c r="F267" t="s">
        <v>215</v>
      </c>
      <c r="G267" s="4" t="s">
        <v>244</v>
      </c>
      <c r="H267" s="4" t="str">
        <f>VLOOKUP(A267,'Monthly EE List'!A:G,7,0)</f>
        <v>A</v>
      </c>
      <c r="I267" t="s">
        <v>212</v>
      </c>
      <c r="J267" s="5">
        <v>41074</v>
      </c>
      <c r="K267" t="s">
        <v>2612</v>
      </c>
      <c r="L267" s="4" t="str">
        <f t="shared" ca="1" si="6"/>
        <v/>
      </c>
      <c r="M267" s="6" t="str">
        <f>IF(VLOOKUP($C$4,Working!$A$23:$L$52,Working!$F$21,0)="Y",TEXT($C$6,"YYYYMM")&amp;"_"&amp;$E267&amp;"_"&amp;Working!$B$11&amp;Working!$B$12,"")</f>
        <v>201703_41669_Top15.xlsx</v>
      </c>
      <c r="N267" s="6" t="str">
        <f>IF(VLOOKUP($C$4,Working!$A$23:$L$52,Working!$I$21,0)="Y",TEXT($C$6,"YYYYMM")&amp;"_"&amp;$E267&amp;"_"&amp;Working!$B$13&amp;Working!$B$14,"")</f>
        <v/>
      </c>
      <c r="O267" s="4"/>
      <c r="P267" s="4"/>
      <c r="Q267" s="41"/>
      <c r="R267" s="41"/>
      <c r="S267" s="41"/>
      <c r="T267" s="41"/>
      <c r="U267" s="41"/>
      <c r="V267" s="4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1:45" s="10" customFormat="1" x14ac:dyDescent="0.3">
      <c r="A268">
        <v>4031</v>
      </c>
      <c r="B268" s="37" t="str">
        <f>VLOOKUP(A268,'Monthly EE List'!A:D,4,0)&amp;" "&amp;VLOOKUP(A268,'Monthly EE List'!A:D,3,0)</f>
        <v>KEEGAN DUNN</v>
      </c>
      <c r="C268" s="38" t="s">
        <v>2586</v>
      </c>
      <c r="D268" s="4" t="s">
        <v>599</v>
      </c>
      <c r="E268">
        <v>41671</v>
      </c>
      <c r="F268" t="s">
        <v>215</v>
      </c>
      <c r="G268" s="4" t="s">
        <v>244</v>
      </c>
      <c r="H268" s="4" t="str">
        <f>VLOOKUP(A268,'Monthly EE List'!A:G,7,0)</f>
        <v>A</v>
      </c>
      <c r="I268" t="s">
        <v>212</v>
      </c>
      <c r="J268" s="5">
        <v>41379</v>
      </c>
      <c r="K268" t="s">
        <v>567</v>
      </c>
      <c r="L268" s="4" t="str">
        <f t="shared" ca="1" si="6"/>
        <v/>
      </c>
      <c r="M268" s="6" t="str">
        <f>IF(VLOOKUP($C$4,Working!$A$23:$L$52,Working!$F$21,0)="Y",TEXT($C$6,"YYYYMM")&amp;"_"&amp;$E268&amp;"_"&amp;Working!$B$11&amp;Working!$B$12,"")</f>
        <v>201703_41671_Top15.xlsx</v>
      </c>
      <c r="N268" s="6" t="str">
        <f>IF(VLOOKUP($C$4,Working!$A$23:$L$52,Working!$I$21,0)="Y",TEXT($C$6,"YYYYMM")&amp;"_"&amp;$E268&amp;"_"&amp;Working!$B$13&amp;Working!$B$14,"")</f>
        <v/>
      </c>
      <c r="O268" s="4"/>
      <c r="P268" s="4"/>
      <c r="Q268" s="41" t="s">
        <v>228</v>
      </c>
      <c r="R268" s="41"/>
      <c r="S268" s="41"/>
      <c r="T268" s="41"/>
      <c r="U268" s="41"/>
      <c r="V268" s="4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1:45" s="10" customFormat="1" x14ac:dyDescent="0.3">
      <c r="A269">
        <v>4038</v>
      </c>
      <c r="B269" s="37" t="str">
        <f>VLOOKUP(A269,'Monthly EE List'!A:D,4,0)&amp;" "&amp;VLOOKUP(A269,'Monthly EE List'!A:D,3,0)</f>
        <v>OMAR ALRAYISS</v>
      </c>
      <c r="C269" s="38" t="s">
        <v>2888</v>
      </c>
      <c r="D269" s="4" t="s">
        <v>599</v>
      </c>
      <c r="E269" s="10">
        <v>41674</v>
      </c>
      <c r="F269" t="s">
        <v>215</v>
      </c>
      <c r="G269" s="4" t="s">
        <v>244</v>
      </c>
      <c r="H269" s="4" t="str">
        <f>VLOOKUP(A269,'Monthly EE List'!A:G,7,0)</f>
        <v>A</v>
      </c>
      <c r="I269" t="s">
        <v>212</v>
      </c>
      <c r="J269" s="5">
        <v>41379</v>
      </c>
      <c r="K269" t="s">
        <v>567</v>
      </c>
      <c r="L269" s="4" t="str">
        <f t="shared" ca="1" si="6"/>
        <v/>
      </c>
      <c r="M269" s="6" t="str">
        <f>IF(VLOOKUP($C$4,Working!$A$23:$L$52,Working!$F$21,0)="Y",TEXT($C$6,"YYYYMM")&amp;"_"&amp;$E269&amp;"_"&amp;Working!$B$11&amp;Working!$B$12,"")</f>
        <v>201703_41674_Top15.xlsx</v>
      </c>
      <c r="N269" s="6" t="str">
        <f>IF(VLOOKUP($C$4,Working!$A$23:$L$52,Working!$I$21,0)="Y",TEXT($C$6,"YYYYMM")&amp;"_"&amp;$E269&amp;"_"&amp;Working!$B$13&amp;Working!$B$14,"")</f>
        <v/>
      </c>
      <c r="O269" s="4"/>
      <c r="P269" s="4"/>
      <c r="Q269" s="41" t="s">
        <v>228</v>
      </c>
      <c r="R269" s="41"/>
      <c r="S269" s="41"/>
      <c r="T269" s="41"/>
      <c r="U269" s="41"/>
      <c r="V269" s="4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1:45" s="10" customFormat="1" x14ac:dyDescent="0.3">
      <c r="A270">
        <v>4040</v>
      </c>
      <c r="B270" s="37" t="str">
        <f>VLOOKUP(A270,'Monthly EE List'!A:D,4,0)&amp;" "&amp;VLOOKUP(A270,'Monthly EE List'!A:D,3,0)</f>
        <v>BRAD PELLETIER</v>
      </c>
      <c r="C270" s="38" t="s">
        <v>2636</v>
      </c>
      <c r="D270" s="4" t="s">
        <v>599</v>
      </c>
      <c r="E270" t="s">
        <v>2637</v>
      </c>
      <c r="F270" t="s">
        <v>217</v>
      </c>
      <c r="G270" s="4" t="s">
        <v>142</v>
      </c>
      <c r="H270" s="4" t="str">
        <f>VLOOKUP(A270,'Monthly EE List'!A:G,7,0)</f>
        <v>A</v>
      </c>
      <c r="I270" t="s">
        <v>211</v>
      </c>
      <c r="J270" s="5">
        <v>41109</v>
      </c>
      <c r="K270" t="s">
        <v>147</v>
      </c>
      <c r="L270" s="4" t="str">
        <f t="shared" ref="L270:L329" ca="1" si="8">IF(OFFSET(N270,,$C$4)="X","X","")</f>
        <v/>
      </c>
      <c r="M270" s="6" t="str">
        <f>IF(VLOOKUP($C$4,Working!$A$23:$L$52,Working!$F$21,0)="Y",TEXT($C$6,"YYYYMM")&amp;"_"&amp;$E270&amp;"_"&amp;Working!$B$11&amp;Working!$B$12,"")</f>
        <v>201703_QZ1BP_Top15.xlsx</v>
      </c>
      <c r="N270" s="6" t="str">
        <f>IF(VLOOKUP($C$4,Working!$A$23:$L$52,Working!$I$21,0)="Y",TEXT($C$6,"YYYYMM")&amp;"_"&amp;$E270&amp;"_"&amp;Working!$B$13&amp;Working!$B$14,"")</f>
        <v/>
      </c>
      <c r="O270" s="4" t="s">
        <v>228</v>
      </c>
      <c r="P270" s="4" t="s">
        <v>228</v>
      </c>
      <c r="Q270" s="41"/>
      <c r="R270" s="41"/>
      <c r="S270" s="41"/>
      <c r="T270" s="41"/>
      <c r="U270" s="41" t="s">
        <v>228</v>
      </c>
      <c r="V270" s="4" t="s">
        <v>228</v>
      </c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1:45" s="10" customFormat="1" x14ac:dyDescent="0.3">
      <c r="A271">
        <v>4047</v>
      </c>
      <c r="B271" s="37" t="str">
        <f>VLOOKUP(A271,'Monthly EE List'!A:D,4,0)&amp;" "&amp;VLOOKUP(A271,'Monthly EE List'!A:D,3,0)</f>
        <v>RAZMIG TATOULIAN</v>
      </c>
      <c r="C271" s="38" t="s">
        <v>2667</v>
      </c>
      <c r="D271" s="4" t="s">
        <v>599</v>
      </c>
      <c r="E271" s="10" t="s">
        <v>2668</v>
      </c>
      <c r="F271" t="s">
        <v>217</v>
      </c>
      <c r="G271" s="4" t="s">
        <v>142</v>
      </c>
      <c r="H271" s="4" t="str">
        <f>VLOOKUP(A271,'Monthly EE List'!A:G,7,0)</f>
        <v>A</v>
      </c>
      <c r="I271" t="s">
        <v>212</v>
      </c>
      <c r="J271" s="5">
        <v>41715</v>
      </c>
      <c r="K271" t="s">
        <v>2665</v>
      </c>
      <c r="L271" s="4" t="str">
        <f t="shared" ca="1" si="8"/>
        <v/>
      </c>
      <c r="M271" s="6" t="str">
        <f>IF(VLOOKUP($C$4,Working!$A$23:$L$52,Working!$F$21,0)="Y",TEXT($C$6,"YYYYMM")&amp;"_"&amp;$E271&amp;"_"&amp;Working!$B$11&amp;Working!$B$12,"")</f>
        <v>201703_QZ1RT_Top15.xlsx</v>
      </c>
      <c r="N271" s="6" t="str">
        <f>IF(VLOOKUP($C$4,Working!$A$23:$L$52,Working!$I$21,0)="Y",TEXT($C$6,"YYYYMM")&amp;"_"&amp;$E271&amp;"_"&amp;Working!$B$13&amp;Working!$B$14,"")</f>
        <v/>
      </c>
      <c r="O271" s="54"/>
      <c r="P271" s="54"/>
      <c r="Q271" s="41"/>
      <c r="R271" s="41"/>
      <c r="S271" s="41"/>
      <c r="T271" s="41"/>
      <c r="U271" s="4"/>
      <c r="V271" s="4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1:45" s="10" customFormat="1" x14ac:dyDescent="0.3">
      <c r="A272">
        <v>4048</v>
      </c>
      <c r="B272" s="37" t="str">
        <f>VLOOKUP(A272,'Monthly EE List'!A:D,4,0)&amp;" "&amp;VLOOKUP(A272,'Monthly EE List'!A:D,3,0)</f>
        <v>FRANK PEDERSEN</v>
      </c>
      <c r="C272" s="38" t="s">
        <v>2659</v>
      </c>
      <c r="D272" s="4" t="s">
        <v>599</v>
      </c>
      <c r="E272" s="10">
        <v>51913</v>
      </c>
      <c r="F272" t="s">
        <v>218</v>
      </c>
      <c r="G272" s="4" t="s">
        <v>244</v>
      </c>
      <c r="H272" s="4" t="str">
        <f>VLOOKUP(A272,'Monthly EE List'!A:G,7,0)</f>
        <v>A</v>
      </c>
      <c r="I272" t="s">
        <v>212</v>
      </c>
      <c r="J272" s="5">
        <v>41379</v>
      </c>
      <c r="K272" t="s">
        <v>567</v>
      </c>
      <c r="L272" s="4" t="str">
        <f t="shared" ca="1" si="8"/>
        <v/>
      </c>
      <c r="M272" s="6" t="str">
        <f>IF(VLOOKUP($C$4,Working!$A$23:$L$52,Working!$F$21,0)="Y",TEXT($C$6,"YYYYMM")&amp;"_"&amp;$E272&amp;"_"&amp;Working!$B$11&amp;Working!$B$12,"")</f>
        <v>201703_51913_Top15.xlsx</v>
      </c>
      <c r="N272" s="6" t="str">
        <f>IF(VLOOKUP($C$4,Working!$A$23:$L$52,Working!$I$21,0)="Y",TEXT($C$6,"YYYYMM")&amp;"_"&amp;$E272&amp;"_"&amp;Working!$B$13&amp;Working!$B$14,"")</f>
        <v/>
      </c>
      <c r="O272" s="4"/>
      <c r="P272" s="4"/>
      <c r="Q272" s="41" t="s">
        <v>228</v>
      </c>
      <c r="R272" s="41"/>
      <c r="S272" s="41"/>
      <c r="T272" s="41"/>
      <c r="U272" s="41"/>
      <c r="V272" s="4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1:45" s="10" customFormat="1" x14ac:dyDescent="0.3">
      <c r="A273">
        <v>4049</v>
      </c>
      <c r="B273" s="37" t="str">
        <f>VLOOKUP(A273,'Monthly EE List'!A:D,4,0)&amp;" "&amp;VLOOKUP(A273,'Monthly EE List'!A:D,3,0)</f>
        <v>PETER MUSCAT</v>
      </c>
      <c r="C273" s="38" t="s">
        <v>2658</v>
      </c>
      <c r="D273" s="4" t="s">
        <v>599</v>
      </c>
      <c r="E273" s="10">
        <v>41678</v>
      </c>
      <c r="F273" t="s">
        <v>215</v>
      </c>
      <c r="G273" s="4" t="s">
        <v>244</v>
      </c>
      <c r="H273" s="4" t="str">
        <f>VLOOKUP(A273,'Monthly EE List'!A:G,7,0)</f>
        <v>A</v>
      </c>
      <c r="I273" t="s">
        <v>212</v>
      </c>
      <c r="J273" s="5">
        <v>42793</v>
      </c>
      <c r="K273" t="s">
        <v>567</v>
      </c>
      <c r="L273" s="4" t="str">
        <f t="shared" ca="1" si="8"/>
        <v/>
      </c>
      <c r="M273" s="6" t="str">
        <f>IF(VLOOKUP($C$4,Working!$A$23:$L$52,Working!$F$21,0)="Y",TEXT($C$6,"YYYYMM")&amp;"_"&amp;$E273&amp;"_"&amp;Working!$B$11&amp;Working!$B$12,"")</f>
        <v>201703_41678_Top15.xlsx</v>
      </c>
      <c r="N273" s="6" t="str">
        <f>IF(VLOOKUP($C$4,Working!$A$23:$L$52,Working!$I$21,0)="Y",TEXT($C$6,"YYYYMM")&amp;"_"&amp;$E273&amp;"_"&amp;Working!$B$13&amp;Working!$B$14,"")</f>
        <v/>
      </c>
      <c r="O273" s="4"/>
      <c r="P273" s="4"/>
      <c r="Q273" s="41" t="s">
        <v>228</v>
      </c>
      <c r="R273" s="41"/>
      <c r="S273" s="41"/>
      <c r="T273" s="41"/>
      <c r="U273" s="41"/>
      <c r="V273" s="4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1:45" s="10" customFormat="1" x14ac:dyDescent="0.3">
      <c r="A274">
        <v>4054</v>
      </c>
      <c r="B274" s="37" t="str">
        <f>VLOOKUP(A274,'Monthly EE List'!A:D,4,0)&amp;" "&amp;VLOOKUP(A274,'Monthly EE List'!A:D,3,0)</f>
        <v>KIRA JONES</v>
      </c>
      <c r="C274" s="38" t="s">
        <v>2736</v>
      </c>
      <c r="D274" s="4" t="s">
        <v>599</v>
      </c>
      <c r="E274" s="10" t="s">
        <v>2737</v>
      </c>
      <c r="F274" t="s">
        <v>215</v>
      </c>
      <c r="G274" s="4" t="s">
        <v>142</v>
      </c>
      <c r="H274" s="4" t="str">
        <f>VLOOKUP(A274,'Monthly EE List'!A:G,7,0)</f>
        <v>LOA</v>
      </c>
      <c r="I274" t="s">
        <v>212</v>
      </c>
      <c r="J274" s="5">
        <v>42551</v>
      </c>
      <c r="K274" s="43" t="s">
        <v>145</v>
      </c>
      <c r="L274" s="4" t="str">
        <f t="shared" ca="1" si="8"/>
        <v/>
      </c>
      <c r="M274" s="6" t="str">
        <f>IF(VLOOKUP($C$4,Working!$A$23:$L$52,Working!$F$21,0)="Y",TEXT($C$6,"YYYYMM")&amp;"_"&amp;$E274&amp;"_"&amp;Working!$B$11&amp;Working!$B$12,"")</f>
        <v>201703_CZ2KJ_Top15.xlsx</v>
      </c>
      <c r="N274" s="6" t="str">
        <f>IF(VLOOKUP($C$4,Working!$A$23:$L$52,Working!$I$21,0)="Y",TEXT($C$6,"YYYYMM")&amp;"_"&amp;$E274&amp;"_"&amp;Working!$B$13&amp;Working!$B$14,"")</f>
        <v/>
      </c>
      <c r="O274" s="54"/>
      <c r="P274" s="54"/>
      <c r="Q274" s="41"/>
      <c r="R274" s="41"/>
      <c r="S274" s="41"/>
      <c r="T274" s="41"/>
      <c r="U274" s="54"/>
      <c r="V274" s="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1:45" s="10" customFormat="1" x14ac:dyDescent="0.3">
      <c r="A275">
        <v>4062</v>
      </c>
      <c r="B275" s="37" t="str">
        <f>VLOOKUP(A275,'Monthly EE List'!A:D,4,0)&amp;" "&amp;VLOOKUP(A275,'Monthly EE List'!A:D,3,0)</f>
        <v>JOHN FREEBORN</v>
      </c>
      <c r="C275" s="38" t="s">
        <v>2808</v>
      </c>
      <c r="D275" s="4" t="s">
        <v>599</v>
      </c>
      <c r="E275" s="10" t="s">
        <v>2809</v>
      </c>
      <c r="F275" t="s">
        <v>221</v>
      </c>
      <c r="G275" s="4" t="s">
        <v>142</v>
      </c>
      <c r="H275" s="4" t="str">
        <f>VLOOKUP(A275,'Monthly EE List'!A:G,7,0)</f>
        <v>A</v>
      </c>
      <c r="I275" t="s">
        <v>211</v>
      </c>
      <c r="J275" s="5">
        <v>41289</v>
      </c>
      <c r="K275" t="s">
        <v>147</v>
      </c>
      <c r="L275" s="4" t="str">
        <f t="shared" ca="1" si="8"/>
        <v/>
      </c>
      <c r="M275" s="6" t="str">
        <f>IF(VLOOKUP($C$4,Working!$A$23:$L$52,Working!$F$21,0)="Y",TEXT($C$6,"YYYYMM")&amp;"_"&amp;$E275&amp;"_"&amp;Working!$B$11&amp;Working!$B$12,"")</f>
        <v>201703_CZ1JF_Top15.xlsx</v>
      </c>
      <c r="N275" s="6" t="str">
        <f>IF(VLOOKUP($C$4,Working!$A$23:$L$52,Working!$I$21,0)="Y",TEXT($C$6,"YYYYMM")&amp;"_"&amp;$E275&amp;"_"&amp;Working!$B$13&amp;Working!$B$14,"")</f>
        <v/>
      </c>
      <c r="O275" s="4" t="s">
        <v>228</v>
      </c>
      <c r="P275" s="4" t="s">
        <v>228</v>
      </c>
      <c r="Q275" s="41"/>
      <c r="R275" s="41"/>
      <c r="S275" s="41"/>
      <c r="T275" s="41"/>
      <c r="U275" s="41" t="s">
        <v>228</v>
      </c>
      <c r="V275" s="4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1:45" s="10" customFormat="1" x14ac:dyDescent="0.3">
      <c r="A276">
        <v>4070</v>
      </c>
      <c r="B276" s="37" t="str">
        <f>VLOOKUP(A276,'Monthly EE List'!A:D,4,0)&amp;" "&amp;VLOOKUP(A276,'Monthly EE List'!A:D,3,0)</f>
        <v>CHARLES IVY</v>
      </c>
      <c r="C276" s="38" t="s">
        <v>2762</v>
      </c>
      <c r="D276" s="4" t="s">
        <v>599</v>
      </c>
      <c r="E276" s="10" t="s">
        <v>2763</v>
      </c>
      <c r="F276" t="s">
        <v>220</v>
      </c>
      <c r="G276" s="4" t="s">
        <v>142</v>
      </c>
      <c r="H276" s="4" t="str">
        <f>VLOOKUP(A276,'Monthly EE List'!A:G,7,0)</f>
        <v>A</v>
      </c>
      <c r="I276" t="s">
        <v>211</v>
      </c>
      <c r="J276" s="5">
        <v>41260</v>
      </c>
      <c r="K276" t="s">
        <v>2764</v>
      </c>
      <c r="L276" s="4" t="str">
        <f t="shared" ca="1" si="8"/>
        <v/>
      </c>
      <c r="M276" s="6" t="str">
        <f>IF(VLOOKUP($C$4,Working!$A$23:$L$52,Working!$F$21,0)="Y",TEXT($C$6,"YYYYMM")&amp;"_"&amp;$E276&amp;"_"&amp;Working!$B$11&amp;Working!$B$12,"")</f>
        <v>201703_AZ1CI_Top15.xlsx</v>
      </c>
      <c r="N276" s="6" t="str">
        <f>IF(VLOOKUP($C$4,Working!$A$23:$L$52,Working!$I$21,0)="Y",TEXT($C$6,"YYYYMM")&amp;"_"&amp;$E276&amp;"_"&amp;Working!$B$13&amp;Working!$B$14,"")</f>
        <v/>
      </c>
      <c r="O276" s="4" t="s">
        <v>228</v>
      </c>
      <c r="P276" s="4" t="s">
        <v>228</v>
      </c>
      <c r="Q276" s="41"/>
      <c r="R276" s="41"/>
      <c r="S276" s="41"/>
      <c r="T276" s="41"/>
      <c r="U276" s="41" t="s">
        <v>228</v>
      </c>
      <c r="V276" s="4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1:45" s="10" customFormat="1" x14ac:dyDescent="0.3">
      <c r="A277">
        <v>4070</v>
      </c>
      <c r="B277" s="37" t="str">
        <f>VLOOKUP(A277,'Monthly EE List'!A:D,4,0)&amp;" "&amp;VLOOKUP(A277,'Monthly EE List'!A:D,3,0)</f>
        <v>CHARLES IVY</v>
      </c>
      <c r="C277" s="38" t="s">
        <v>2762</v>
      </c>
      <c r="D277" s="4" t="s">
        <v>599</v>
      </c>
      <c r="E277" s="10">
        <v>90215</v>
      </c>
      <c r="F277" t="s">
        <v>220</v>
      </c>
      <c r="G277" s="4" t="s">
        <v>244</v>
      </c>
      <c r="H277" s="4" t="str">
        <f>VLOOKUP(A277,'Monthly EE List'!A:G,7,0)</f>
        <v>A</v>
      </c>
      <c r="I277" t="s">
        <v>211</v>
      </c>
      <c r="J277" s="5">
        <v>41744</v>
      </c>
      <c r="K277" t="s">
        <v>3131</v>
      </c>
      <c r="L277" s="4" t="str">
        <f t="shared" ca="1" si="8"/>
        <v/>
      </c>
      <c r="M277" s="6" t="str">
        <f>IF(VLOOKUP($C$4,Working!$A$23:$L$52,Working!$F$21,0)="Y",TEXT($C$6,"YYYYMM")&amp;"_"&amp;$E277&amp;"_"&amp;Working!$B$11&amp;Working!$B$12,"")</f>
        <v>201703_90215_Top15.xlsx</v>
      </c>
      <c r="N277" s="6" t="str">
        <f>IF(VLOOKUP($C$4,Working!$A$23:$L$52,Working!$I$21,0)="Y",TEXT($C$6,"YYYYMM")&amp;"_"&amp;$E277&amp;"_"&amp;Working!$B$13&amp;Working!$B$14,"")</f>
        <v/>
      </c>
      <c r="O277" s="4"/>
      <c r="P277" s="4"/>
      <c r="Q277" s="41" t="s">
        <v>228</v>
      </c>
      <c r="R277" s="41"/>
      <c r="S277" s="41"/>
      <c r="T277" s="41"/>
      <c r="U277" s="41"/>
      <c r="V277" s="4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1:45" s="10" customFormat="1" x14ac:dyDescent="0.3">
      <c r="A278">
        <v>4076</v>
      </c>
      <c r="B278" s="37" t="str">
        <f>VLOOKUP(A278,'Monthly EE List'!A:D,4,0)&amp;" "&amp;VLOOKUP(A278,'Monthly EE List'!A:D,3,0)</f>
        <v>KEVIN MILLER</v>
      </c>
      <c r="C278" s="38" t="s">
        <v>2810</v>
      </c>
      <c r="D278" s="4" t="s">
        <v>599</v>
      </c>
      <c r="E278" s="10" t="s">
        <v>2811</v>
      </c>
      <c r="F278" t="s">
        <v>221</v>
      </c>
      <c r="G278" s="4" t="s">
        <v>142</v>
      </c>
      <c r="H278" s="4" t="str">
        <f>VLOOKUP(A278,'Monthly EE List'!A:G,7,0)</f>
        <v>A</v>
      </c>
      <c r="I278" t="s">
        <v>211</v>
      </c>
      <c r="J278" s="5">
        <v>41303</v>
      </c>
      <c r="K278" t="s">
        <v>147</v>
      </c>
      <c r="L278" s="4" t="str">
        <f t="shared" ca="1" si="8"/>
        <v/>
      </c>
      <c r="M278" s="6" t="str">
        <f>IF(VLOOKUP($C$4,Working!$A$23:$L$52,Working!$F$21,0)="Y",TEXT($C$6,"YYYYMM")&amp;"_"&amp;$E278&amp;"_"&amp;Working!$B$11&amp;Working!$B$12,"")</f>
        <v>201703_CZ1KM_Top15.xlsx</v>
      </c>
      <c r="N278" s="6" t="str">
        <f>IF(VLOOKUP($C$4,Working!$A$23:$L$52,Working!$I$21,0)="Y",TEXT($C$6,"YYYYMM")&amp;"_"&amp;$E278&amp;"_"&amp;Working!$B$13&amp;Working!$B$14,"")</f>
        <v/>
      </c>
      <c r="O278" s="4" t="s">
        <v>228</v>
      </c>
      <c r="P278" s="4" t="s">
        <v>228</v>
      </c>
      <c r="Q278" s="41"/>
      <c r="R278" s="41"/>
      <c r="S278" s="41"/>
      <c r="T278" s="41"/>
      <c r="U278" s="41" t="s">
        <v>228</v>
      </c>
      <c r="V278" s="4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1:45" s="10" customFormat="1" x14ac:dyDescent="0.3">
      <c r="A279">
        <v>4077</v>
      </c>
      <c r="B279" s="46" t="str">
        <f>VLOOKUP(A279,'Monthly EE List'!A:D,4,0)&amp;" "&amp;VLOOKUP(A279,'Monthly EE List'!A:D,3,0)</f>
        <v>STEFANOS KROMIDAKIS</v>
      </c>
      <c r="C279" s="38" t="s">
        <v>2853</v>
      </c>
      <c r="D279" s="4" t="s">
        <v>599</v>
      </c>
      <c r="E279" s="10">
        <v>51451</v>
      </c>
      <c r="F279" t="s">
        <v>217</v>
      </c>
      <c r="G279" s="4" t="s">
        <v>244</v>
      </c>
      <c r="H279" s="4" t="str">
        <f>VLOOKUP(A279,'Monthly EE List'!A:G,7,0)</f>
        <v>A</v>
      </c>
      <c r="I279" t="s">
        <v>211</v>
      </c>
      <c r="J279" s="5">
        <v>41332</v>
      </c>
      <c r="K279" t="s">
        <v>551</v>
      </c>
      <c r="L279" s="4" t="str">
        <f t="shared" ca="1" si="8"/>
        <v/>
      </c>
      <c r="M279" s="6" t="str">
        <f>IF(VLOOKUP($C$4,Working!$A$23:$L$52,Working!$F$21,0)="Y",TEXT($C$6,"YYYYMM")&amp;"_"&amp;$E279&amp;"_"&amp;Working!$B$11&amp;Working!$B$12,"")</f>
        <v>201703_51451_Top15.xlsx</v>
      </c>
      <c r="N279" s="6" t="str">
        <f>IF(VLOOKUP($C$4,Working!$A$23:$L$52,Working!$I$21,0)="Y",TEXT($C$6,"YYYYMM")&amp;"_"&amp;$E279&amp;"_"&amp;Working!$B$13&amp;Working!$B$14,"")</f>
        <v/>
      </c>
      <c r="O279" s="4"/>
      <c r="P279" s="4"/>
      <c r="Q279" s="41"/>
      <c r="R279" s="41"/>
      <c r="S279" s="41"/>
      <c r="T279" s="41"/>
      <c r="U279" s="41"/>
      <c r="V279" s="4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1:45" s="10" customFormat="1" x14ac:dyDescent="0.3">
      <c r="A280">
        <v>4097</v>
      </c>
      <c r="B280" s="37" t="str">
        <f>VLOOKUP(A280,'Monthly EE List'!A:D,4,0)&amp;" "&amp;VLOOKUP(A280,'Monthly EE List'!A:D,3,0)</f>
        <v>OLIVIA VICKOVICH</v>
      </c>
      <c r="C280" s="38" t="s">
        <v>2882</v>
      </c>
      <c r="D280" s="4" t="s">
        <v>599</v>
      </c>
      <c r="E280" s="10" t="s">
        <v>2883</v>
      </c>
      <c r="F280" t="s">
        <v>218</v>
      </c>
      <c r="G280" s="4" t="s">
        <v>142</v>
      </c>
      <c r="H280" s="4" t="str">
        <f>VLOOKUP(A280,'Monthly EE List'!A:G,7,0)</f>
        <v>A</v>
      </c>
      <c r="I280" t="s">
        <v>211</v>
      </c>
      <c r="J280" s="5">
        <v>41374</v>
      </c>
      <c r="K280" s="10" t="s">
        <v>147</v>
      </c>
      <c r="L280" s="4" t="str">
        <f t="shared" ca="1" si="8"/>
        <v/>
      </c>
      <c r="M280" s="6" t="str">
        <f>IF(VLOOKUP($C$4,Working!$A$23:$L$52,Working!$F$21,0)="Y",TEXT($C$6,"YYYYMM")&amp;"_"&amp;$E280&amp;"_"&amp;Working!$B$11&amp;Working!$B$12,"")</f>
        <v>201703_CZ1OV_Top15.xlsx</v>
      </c>
      <c r="N280" s="6" t="str">
        <f>IF(VLOOKUP($C$4,Working!$A$23:$L$52,Working!$I$21,0)="Y",TEXT($C$6,"YYYYMM")&amp;"_"&amp;$E280&amp;"_"&amp;Working!$B$13&amp;Working!$B$14,"")</f>
        <v/>
      </c>
      <c r="O280" s="4" t="s">
        <v>228</v>
      </c>
      <c r="P280" s="4" t="s">
        <v>228</v>
      </c>
      <c r="Q280" s="41"/>
      <c r="R280" s="41"/>
      <c r="S280" s="41"/>
      <c r="T280" s="41"/>
      <c r="U280" s="41" t="s">
        <v>228</v>
      </c>
      <c r="V280" s="4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1:45" s="10" customFormat="1" x14ac:dyDescent="0.3">
      <c r="A281">
        <v>4098</v>
      </c>
      <c r="B281" s="46" t="str">
        <f>VLOOKUP(A281,'Monthly EE List'!A:D,4,0)&amp;" "&amp;VLOOKUP(A281,'Monthly EE List'!A:D,3,0)</f>
        <v>OBEID WAHID ALEM</v>
      </c>
      <c r="C281" s="38" t="s">
        <v>2885</v>
      </c>
      <c r="D281" s="4" t="s">
        <v>599</v>
      </c>
      <c r="E281" s="10">
        <v>51455</v>
      </c>
      <c r="F281" t="s">
        <v>217</v>
      </c>
      <c r="G281" s="4" t="s">
        <v>244</v>
      </c>
      <c r="H281" s="4" t="str">
        <f>VLOOKUP(A281,'Monthly EE List'!A:G,7,0)</f>
        <v>A</v>
      </c>
      <c r="I281" t="s">
        <v>211</v>
      </c>
      <c r="J281" s="5">
        <v>41376</v>
      </c>
      <c r="K281" t="s">
        <v>551</v>
      </c>
      <c r="L281" s="4" t="str">
        <f t="shared" ca="1" si="8"/>
        <v/>
      </c>
      <c r="M281" s="6" t="str">
        <f>IF(VLOOKUP($C$4,Working!$A$23:$L$52,Working!$F$21,0)="Y",TEXT($C$6,"YYYYMM")&amp;"_"&amp;$E281&amp;"_"&amp;Working!$B$11&amp;Working!$B$12,"")</f>
        <v>201703_51455_Top15.xlsx</v>
      </c>
      <c r="N281" s="6" t="str">
        <f>IF(VLOOKUP($C$4,Working!$A$23:$L$52,Working!$I$21,0)="Y",TEXT($C$6,"YYYYMM")&amp;"_"&amp;$E281&amp;"_"&amp;Working!$B$13&amp;Working!$B$14,"")</f>
        <v/>
      </c>
      <c r="O281" s="4"/>
      <c r="P281" s="4"/>
      <c r="Q281" s="41"/>
      <c r="R281" s="41"/>
      <c r="S281" s="41"/>
      <c r="T281" s="41"/>
      <c r="U281" s="41"/>
      <c r="V281" s="4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1:45" s="10" customFormat="1" x14ac:dyDescent="0.3">
      <c r="A282">
        <v>4108</v>
      </c>
      <c r="B282" s="46" t="str">
        <f>VLOOKUP(A282,'Monthly EE List'!A:D,4,0)&amp;" "&amp;VLOOKUP(A282,'Monthly EE List'!A:D,3,0)</f>
        <v>JEFFREY HOWE</v>
      </c>
      <c r="C282" s="38" t="s">
        <v>2942</v>
      </c>
      <c r="D282" s="4" t="s">
        <v>599</v>
      </c>
      <c r="E282" s="10">
        <v>41681</v>
      </c>
      <c r="F282" t="s">
        <v>215</v>
      </c>
      <c r="G282" s="4" t="s">
        <v>244</v>
      </c>
      <c r="H282" s="4" t="str">
        <f>VLOOKUP(A282,'Monthly EE List'!A:G,7,0)</f>
        <v>A</v>
      </c>
      <c r="I282" t="s">
        <v>211</v>
      </c>
      <c r="J282" s="5">
        <v>41445</v>
      </c>
      <c r="K282" t="s">
        <v>551</v>
      </c>
      <c r="L282" s="4" t="str">
        <f t="shared" ca="1" si="8"/>
        <v/>
      </c>
      <c r="M282" s="6" t="str">
        <f>IF(VLOOKUP($C$4,Working!$A$23:$L$52,Working!$F$21,0)="Y",TEXT($C$6,"YYYYMM")&amp;"_"&amp;$E282&amp;"_"&amp;Working!$B$11&amp;Working!$B$12,"")</f>
        <v>201703_41681_Top15.xlsx</v>
      </c>
      <c r="N282" s="6" t="str">
        <f>IF(VLOOKUP($C$4,Working!$A$23:$L$52,Working!$I$21,0)="Y",TEXT($C$6,"YYYYMM")&amp;"_"&amp;$E282&amp;"_"&amp;Working!$B$13&amp;Working!$B$14,"")</f>
        <v/>
      </c>
      <c r="O282" s="4"/>
      <c r="P282" s="4"/>
      <c r="Q282" s="41"/>
      <c r="R282" s="41"/>
      <c r="S282" s="41"/>
      <c r="T282" s="41"/>
      <c r="U282" s="41"/>
      <c r="V282" s="4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1:45" s="10" customFormat="1" x14ac:dyDescent="0.3">
      <c r="A283">
        <v>4110</v>
      </c>
      <c r="B283" s="37" t="str">
        <f>VLOOKUP(A283,'Monthly EE List'!A:D,4,0)&amp;" "&amp;VLOOKUP(A283,'Monthly EE List'!A:D,3,0)</f>
        <v>JULIE BROSSEAU</v>
      </c>
      <c r="C283" s="38" t="s">
        <v>2956</v>
      </c>
      <c r="D283" s="4" t="s">
        <v>599</v>
      </c>
      <c r="E283" s="10" t="s">
        <v>2954</v>
      </c>
      <c r="F283" t="s">
        <v>219</v>
      </c>
      <c r="G283" s="4" t="s">
        <v>142</v>
      </c>
      <c r="H283" s="4" t="str">
        <f>VLOOKUP(A283,'Monthly EE List'!A:G,7,0)</f>
        <v>A</v>
      </c>
      <c r="I283" t="s">
        <v>212</v>
      </c>
      <c r="J283" s="5">
        <v>41831</v>
      </c>
      <c r="K283" s="10" t="s">
        <v>571</v>
      </c>
      <c r="L283" s="4" t="str">
        <f t="shared" ca="1" si="8"/>
        <v/>
      </c>
      <c r="M283" s="6" t="str">
        <f>IF(VLOOKUP($C$4,Working!$A$23:$L$52,Working!$F$21,0)="Y",TEXT($C$6,"YYYYMM")&amp;"_"&amp;$E283&amp;"_"&amp;Working!$B$11&amp;Working!$B$12,"")</f>
        <v>201703_QZ1JB_Top15.xlsx</v>
      </c>
      <c r="N283" s="6" t="str">
        <f>IF(VLOOKUP($C$4,Working!$A$23:$L$52,Working!$I$21,0)="Y",TEXT($C$6,"YYYYMM")&amp;"_"&amp;$E283&amp;"_"&amp;Working!$B$13&amp;Working!$B$14,"")</f>
        <v/>
      </c>
      <c r="O283" s="4" t="s">
        <v>228</v>
      </c>
      <c r="P283" s="4" t="s">
        <v>228</v>
      </c>
      <c r="Q283" s="41"/>
      <c r="R283" s="41"/>
      <c r="S283" s="41"/>
      <c r="T283" s="41"/>
      <c r="U283" s="41" t="s">
        <v>228</v>
      </c>
      <c r="V283" s="54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1:45" s="10" customFormat="1" x14ac:dyDescent="0.3">
      <c r="A284">
        <v>4115</v>
      </c>
      <c r="B284" s="37" t="str">
        <f>VLOOKUP(A284,'Monthly EE List'!A:D,4,0)&amp;" "&amp;VLOOKUP(A284,'Monthly EE List'!A:D,3,0)</f>
        <v>BRUNO GASCON</v>
      </c>
      <c r="C284" s="38" t="s">
        <v>2959</v>
      </c>
      <c r="D284" s="4" t="s">
        <v>599</v>
      </c>
      <c r="E284" s="10" t="s">
        <v>2961</v>
      </c>
      <c r="F284" t="s">
        <v>217</v>
      </c>
      <c r="G284" s="4" t="s">
        <v>142</v>
      </c>
      <c r="H284" s="4" t="str">
        <f>VLOOKUP(A284,'Monthly EE List'!A:G,7,0)</f>
        <v>A</v>
      </c>
      <c r="I284" t="s">
        <v>211</v>
      </c>
      <c r="J284" s="5">
        <v>41505</v>
      </c>
      <c r="K284" s="10" t="s">
        <v>147</v>
      </c>
      <c r="L284" s="4" t="str">
        <f t="shared" ca="1" si="8"/>
        <v/>
      </c>
      <c r="M284" s="6" t="str">
        <f>IF(VLOOKUP($C$4,Working!$A$23:$L$52,Working!$F$21,0)="Y",TEXT($C$6,"YYYYMM")&amp;"_"&amp;$E284&amp;"_"&amp;Working!$B$11&amp;Working!$B$12,"")</f>
        <v>201703_QZ1BG_Top15.xlsx</v>
      </c>
      <c r="N284" s="6" t="str">
        <f>IF(VLOOKUP($C$4,Working!$A$23:$L$52,Working!$I$21,0)="Y",TEXT($C$6,"YYYYMM")&amp;"_"&amp;$E284&amp;"_"&amp;Working!$B$13&amp;Working!$B$14,"")</f>
        <v/>
      </c>
      <c r="O284" s="4" t="s">
        <v>228</v>
      </c>
      <c r="P284" s="4" t="s">
        <v>228</v>
      </c>
      <c r="Q284" s="41"/>
      <c r="R284" s="41"/>
      <c r="S284" s="41"/>
      <c r="T284" s="41"/>
      <c r="U284" s="41" t="s">
        <v>228</v>
      </c>
      <c r="V284" s="5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1:45" s="10" customFormat="1" x14ac:dyDescent="0.3">
      <c r="A285">
        <v>4126</v>
      </c>
      <c r="B285" s="37" t="str">
        <f>VLOOKUP(A285,'Monthly EE List'!A:D,4,0)&amp;" "&amp;VLOOKUP(A285,'Monthly EE List'!A:D,3,0)</f>
        <v>THEODOROS MOULIS</v>
      </c>
      <c r="C285" s="38" t="s">
        <v>3003</v>
      </c>
      <c r="D285" s="4" t="s">
        <v>599</v>
      </c>
      <c r="E285" s="10" t="s">
        <v>3004</v>
      </c>
      <c r="F285" t="s">
        <v>215</v>
      </c>
      <c r="G285" s="4" t="s">
        <v>142</v>
      </c>
      <c r="H285" s="4" t="str">
        <f>VLOOKUP(A285,'Monthly EE List'!A:G,7,0)</f>
        <v>A</v>
      </c>
      <c r="I285" t="s">
        <v>211</v>
      </c>
      <c r="J285" s="5">
        <v>41551</v>
      </c>
      <c r="K285" s="10" t="s">
        <v>147</v>
      </c>
      <c r="L285" s="4" t="str">
        <f t="shared" ca="1" si="8"/>
        <v/>
      </c>
      <c r="M285" s="6" t="str">
        <f>IF(VLOOKUP($C$4,Working!$A$23:$L$52,Working!$F$21,0)="Y",TEXT($C$6,"YYYYMM")&amp;"_"&amp;$E285&amp;"_"&amp;Working!$B$11&amp;Working!$B$12,"")</f>
        <v>201703_CZ1TM_Top15.xlsx</v>
      </c>
      <c r="N285" s="6" t="str">
        <f>IF(VLOOKUP($C$4,Working!$A$23:$L$52,Working!$I$21,0)="Y",TEXT($C$6,"YYYYMM")&amp;"_"&amp;$E285&amp;"_"&amp;Working!$B$13&amp;Working!$B$14,"")</f>
        <v/>
      </c>
      <c r="O285" s="4" t="s">
        <v>228</v>
      </c>
      <c r="P285" s="4" t="s">
        <v>228</v>
      </c>
      <c r="Q285" s="41"/>
      <c r="R285" s="41"/>
      <c r="S285" s="41"/>
      <c r="T285" s="41"/>
      <c r="U285" s="41" t="s">
        <v>228</v>
      </c>
      <c r="V285" s="4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1:45" s="10" customFormat="1" x14ac:dyDescent="0.3">
      <c r="A286">
        <v>4132</v>
      </c>
      <c r="B286" s="37" t="str">
        <f>VLOOKUP(A286,'Monthly EE List'!A:D,4,0)&amp;" "&amp;VLOOKUP(A286,'Monthly EE List'!A:D,3,0)</f>
        <v>MARK CARTEN</v>
      </c>
      <c r="C286" s="38" t="s">
        <v>3052</v>
      </c>
      <c r="D286" s="4" t="s">
        <v>599</v>
      </c>
      <c r="E286">
        <v>90219</v>
      </c>
      <c r="F286" t="s">
        <v>220</v>
      </c>
      <c r="G286" s="4" t="s">
        <v>244</v>
      </c>
      <c r="H286" s="4" t="str">
        <f>VLOOKUP(A286,'Monthly EE List'!A:G,7,0)</f>
        <v>A</v>
      </c>
      <c r="I286" t="s">
        <v>211</v>
      </c>
      <c r="J286" s="5">
        <v>41599</v>
      </c>
      <c r="K286" t="s">
        <v>551</v>
      </c>
      <c r="L286" s="4" t="str">
        <f t="shared" ca="1" si="8"/>
        <v/>
      </c>
      <c r="M286" s="6" t="str">
        <f>IF(VLOOKUP($C$4,Working!$A$23:$L$52,Working!$F$21,0)="Y",TEXT($C$6,"YYYYMM")&amp;"_"&amp;$E286&amp;"_"&amp;Working!$B$11&amp;Working!$B$12,"")</f>
        <v>201703_90219_Top15.xlsx</v>
      </c>
      <c r="N286" s="6" t="str">
        <f>IF(VLOOKUP($C$4,Working!$A$23:$L$52,Working!$I$21,0)="Y",TEXT($C$6,"YYYYMM")&amp;"_"&amp;$E286&amp;"_"&amp;Working!$B$13&amp;Working!$B$14,"")</f>
        <v/>
      </c>
      <c r="O286" s="4"/>
      <c r="P286" s="4"/>
      <c r="Q286" s="41" t="s">
        <v>228</v>
      </c>
      <c r="R286" s="41"/>
      <c r="S286" s="41"/>
      <c r="T286" s="41"/>
      <c r="U286" s="41"/>
      <c r="V286" s="4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1:45" s="10" customFormat="1" x14ac:dyDescent="0.3">
      <c r="A287">
        <v>4134</v>
      </c>
      <c r="B287" s="37" t="str">
        <f>VLOOKUP(A287,'Monthly EE List'!A:D,4,0)&amp;" "&amp;VLOOKUP(A287,'Monthly EE List'!A:D,3,0)</f>
        <v>RENE ERSKINE</v>
      </c>
      <c r="C287" s="38" t="s">
        <v>3053</v>
      </c>
      <c r="D287" s="4" t="s">
        <v>599</v>
      </c>
      <c r="E287">
        <v>41682</v>
      </c>
      <c r="F287" t="s">
        <v>215</v>
      </c>
      <c r="G287" s="4" t="s">
        <v>244</v>
      </c>
      <c r="H287" s="4" t="str">
        <f>VLOOKUP(A287,'Monthly EE List'!A:G,7,0)</f>
        <v>A</v>
      </c>
      <c r="I287" t="s">
        <v>211</v>
      </c>
      <c r="J287" s="5">
        <v>41599</v>
      </c>
      <c r="K287" t="s">
        <v>551</v>
      </c>
      <c r="L287" s="4" t="str">
        <f t="shared" ca="1" si="8"/>
        <v/>
      </c>
      <c r="M287" s="6" t="str">
        <f>IF(VLOOKUP($C$4,Working!$A$23:$L$52,Working!$F$21,0)="Y",TEXT($C$6,"YYYYMM")&amp;"_"&amp;$E287&amp;"_"&amp;Working!$B$11&amp;Working!$B$12,"")</f>
        <v>201703_41682_Top15.xlsx</v>
      </c>
      <c r="N287" s="6" t="str">
        <f>IF(VLOOKUP($C$4,Working!$A$23:$L$52,Working!$I$21,0)="Y",TEXT($C$6,"YYYYMM")&amp;"_"&amp;$E287&amp;"_"&amp;Working!$B$13&amp;Working!$B$14,"")</f>
        <v/>
      </c>
      <c r="O287" s="4"/>
      <c r="P287" s="4"/>
      <c r="Q287" s="41" t="s">
        <v>228</v>
      </c>
      <c r="R287" s="41"/>
      <c r="S287" s="41"/>
      <c r="T287" s="41"/>
      <c r="U287" s="41"/>
      <c r="V287" s="4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1:45" s="10" customFormat="1" x14ac:dyDescent="0.3">
      <c r="A288">
        <v>4135</v>
      </c>
      <c r="B288" s="37" t="str">
        <f>VLOOKUP(A288,'Monthly EE List'!A:D,4,0)&amp;" "&amp;VLOOKUP(A288,'Monthly EE List'!A:D,3,0)</f>
        <v>MICHAEL VAILLANCOURT</v>
      </c>
      <c r="C288" s="38" t="s">
        <v>3054</v>
      </c>
      <c r="D288" s="4" t="s">
        <v>599</v>
      </c>
      <c r="E288">
        <v>41679</v>
      </c>
      <c r="F288" t="s">
        <v>215</v>
      </c>
      <c r="G288" s="4" t="s">
        <v>244</v>
      </c>
      <c r="H288" s="4" t="str">
        <f>VLOOKUP(A288,'Monthly EE List'!A:G,7,0)</f>
        <v>A</v>
      </c>
      <c r="I288" t="s">
        <v>211</v>
      </c>
      <c r="J288" s="5">
        <v>41599</v>
      </c>
      <c r="K288" t="s">
        <v>551</v>
      </c>
      <c r="L288" s="4" t="str">
        <f t="shared" ca="1" si="8"/>
        <v/>
      </c>
      <c r="M288" s="6" t="str">
        <f>IF(VLOOKUP($C$4,Working!$A$23:$L$52,Working!$F$21,0)="Y",TEXT($C$6,"YYYYMM")&amp;"_"&amp;$E288&amp;"_"&amp;Working!$B$11&amp;Working!$B$12,"")</f>
        <v>201703_41679_Top15.xlsx</v>
      </c>
      <c r="N288" s="6" t="str">
        <f>IF(VLOOKUP($C$4,Working!$A$23:$L$52,Working!$I$21,0)="Y",TEXT($C$6,"YYYYMM")&amp;"_"&amp;$E288&amp;"_"&amp;Working!$B$13&amp;Working!$B$14,"")</f>
        <v/>
      </c>
      <c r="O288" s="4"/>
      <c r="P288" s="4"/>
      <c r="Q288" s="41" t="s">
        <v>228</v>
      </c>
      <c r="R288" s="41"/>
      <c r="S288" s="41"/>
      <c r="T288" s="41"/>
      <c r="U288" s="41"/>
      <c r="V288" s="4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1:45" s="10" customFormat="1" x14ac:dyDescent="0.3">
      <c r="A289">
        <v>4143</v>
      </c>
      <c r="B289" s="37" t="str">
        <f>VLOOKUP(A289,'Monthly EE List'!A:D,4,0)&amp;" "&amp;VLOOKUP(A289,'Monthly EE List'!A:D,3,0)</f>
        <v>PETER MORRIS</v>
      </c>
      <c r="C289" s="38" t="s">
        <v>3086</v>
      </c>
      <c r="D289" s="4" t="s">
        <v>599</v>
      </c>
      <c r="E289">
        <v>61327</v>
      </c>
      <c r="F289" t="s">
        <v>221</v>
      </c>
      <c r="G289" s="4" t="s">
        <v>244</v>
      </c>
      <c r="H289" s="4" t="str">
        <f>VLOOKUP(A289,'Monthly EE List'!A:G,7,0)</f>
        <v>A</v>
      </c>
      <c r="I289" t="s">
        <v>211</v>
      </c>
      <c r="J289" s="5">
        <v>41675</v>
      </c>
      <c r="K289" t="s">
        <v>551</v>
      </c>
      <c r="L289" s="4" t="str">
        <f t="shared" ca="1" si="8"/>
        <v/>
      </c>
      <c r="M289" s="6" t="str">
        <f>IF(VLOOKUP($C$4,Working!$A$23:$L$52,Working!$F$21,0)="Y",TEXT($C$6,"YYYYMM")&amp;"_"&amp;$E289&amp;"_"&amp;Working!$B$11&amp;Working!$B$12,"")</f>
        <v>201703_61327_Top15.xlsx</v>
      </c>
      <c r="N289" s="6" t="str">
        <f>IF(VLOOKUP($C$4,Working!$A$23:$L$52,Working!$I$21,0)="Y",TEXT($C$6,"YYYYMM")&amp;"_"&amp;$E289&amp;"_"&amp;Working!$B$13&amp;Working!$B$14,"")</f>
        <v/>
      </c>
      <c r="O289" s="4"/>
      <c r="P289" s="4"/>
      <c r="Q289" s="41" t="s">
        <v>228</v>
      </c>
      <c r="R289" s="41"/>
      <c r="S289" s="41"/>
      <c r="T289" s="41"/>
      <c r="U289" s="41"/>
      <c r="V289" s="4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1:45" s="10" customFormat="1" x14ac:dyDescent="0.3">
      <c r="A290">
        <v>4146</v>
      </c>
      <c r="B290" s="37" t="str">
        <f>VLOOKUP(A290,'Monthly EE List'!A:D,4,0)&amp;" "&amp;VLOOKUP(A290,'Monthly EE List'!A:D,3,0)</f>
        <v>JESSE SALE</v>
      </c>
      <c r="C290" s="38" t="s">
        <v>3108</v>
      </c>
      <c r="D290" s="4" t="s">
        <v>599</v>
      </c>
      <c r="E290">
        <v>41683</v>
      </c>
      <c r="F290" t="s">
        <v>215</v>
      </c>
      <c r="G290" s="4" t="s">
        <v>244</v>
      </c>
      <c r="H290" s="4" t="str">
        <f>VLOOKUP(A290,'Monthly EE List'!A:G,7,0)</f>
        <v>A</v>
      </c>
      <c r="I290" t="s">
        <v>211</v>
      </c>
      <c r="J290" s="5">
        <v>41697</v>
      </c>
      <c r="K290" t="s">
        <v>551</v>
      </c>
      <c r="L290" s="4" t="str">
        <f t="shared" ca="1" si="8"/>
        <v/>
      </c>
      <c r="M290" s="6" t="str">
        <f>IF(VLOOKUP($C$4,Working!$A$23:$L$52,Working!$F$21,0)="Y",TEXT($C$6,"YYYYMM")&amp;"_"&amp;$E290&amp;"_"&amp;Working!$B$11&amp;Working!$B$12,"")</f>
        <v>201703_41683_Top15.xlsx</v>
      </c>
      <c r="N290" s="6" t="str">
        <f>IF(VLOOKUP($C$4,Working!$A$23:$L$52,Working!$I$21,0)="Y",TEXT($C$6,"YYYYMM")&amp;"_"&amp;$E290&amp;"_"&amp;Working!$B$13&amp;Working!$B$14,"")</f>
        <v/>
      </c>
      <c r="O290" s="4"/>
      <c r="P290" s="4"/>
      <c r="Q290" s="41"/>
      <c r="R290" s="41"/>
      <c r="S290" s="41"/>
      <c r="T290" s="41"/>
      <c r="U290" s="41"/>
      <c r="V290" s="4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1:45" s="10" customFormat="1" x14ac:dyDescent="0.3">
      <c r="A291">
        <v>4149</v>
      </c>
      <c r="B291" s="37" t="str">
        <f>VLOOKUP(A291,'Monthly EE List'!A:D,4,0)&amp;" "&amp;VLOOKUP(A291,'Monthly EE List'!A:D,3,0)</f>
        <v>MARC ZDROJEWSKI</v>
      </c>
      <c r="C291" s="37" t="s">
        <v>3123</v>
      </c>
      <c r="D291" s="4" t="s">
        <v>599</v>
      </c>
      <c r="E291" t="s">
        <v>2714</v>
      </c>
      <c r="F291" t="s">
        <v>215</v>
      </c>
      <c r="G291" s="4" t="s">
        <v>2715</v>
      </c>
      <c r="H291" s="4" t="str">
        <f>VLOOKUP(A291,'Monthly EE List'!A:G,7,0)</f>
        <v>A</v>
      </c>
      <c r="I291" t="s">
        <v>211</v>
      </c>
      <c r="J291" s="5">
        <v>41731</v>
      </c>
      <c r="K291" t="s">
        <v>2716</v>
      </c>
      <c r="L291" s="4" t="str">
        <f t="shared" ca="1" si="8"/>
        <v>X</v>
      </c>
      <c r="M291" s="6" t="str">
        <f>IF(VLOOKUP($C$4,Working!$A$23:$L$52,Working!$F$21,0)="Y",TEXT($C$6,"YYYYMM")&amp;"_"&amp;$E291&amp;"_"&amp;Working!$B$11&amp;Working!$B$12,"")</f>
        <v>201703_TOR02_Top15.xlsx</v>
      </c>
      <c r="N291" s="6" t="str">
        <f>IF(VLOOKUP($C$4,Working!$A$23:$L$52,Working!$I$21,0)="Y",TEXT($C$6,"YYYYMM")&amp;"_"&amp;$E291&amp;"_"&amp;Working!$B$13&amp;Working!$B$14,"")</f>
        <v/>
      </c>
      <c r="O291" s="4"/>
      <c r="P291" s="4"/>
      <c r="Q291" s="41"/>
      <c r="R291" s="41"/>
      <c r="S291" s="41"/>
      <c r="T291" s="41"/>
      <c r="U291" s="41"/>
      <c r="V291" s="4"/>
      <c r="W291" s="4" t="s">
        <v>228</v>
      </c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1:45" s="10" customFormat="1" x14ac:dyDescent="0.3">
      <c r="A292">
        <v>4149</v>
      </c>
      <c r="B292" s="37" t="str">
        <f>VLOOKUP(A292,'Monthly EE List'!A:D,4,0)&amp;" "&amp;VLOOKUP(A292,'Monthly EE List'!A:D,3,0)</f>
        <v>MARC ZDROJEWSKI</v>
      </c>
      <c r="C292" s="37" t="s">
        <v>3123</v>
      </c>
      <c r="D292" s="4" t="s">
        <v>599</v>
      </c>
      <c r="E292" t="s">
        <v>3179</v>
      </c>
      <c r="F292" t="s">
        <v>215</v>
      </c>
      <c r="G292" s="4" t="s">
        <v>2715</v>
      </c>
      <c r="H292" s="4" t="str">
        <f>VLOOKUP(A292,'Monthly EE List'!A:G,7,0)</f>
        <v>A</v>
      </c>
      <c r="I292" t="s">
        <v>211</v>
      </c>
      <c r="J292" s="5">
        <v>41731</v>
      </c>
      <c r="K292" t="s">
        <v>2716</v>
      </c>
      <c r="L292" s="4" t="str">
        <f t="shared" ca="1" si="8"/>
        <v>X</v>
      </c>
      <c r="M292" s="6" t="str">
        <f>IF(VLOOKUP($C$4,Working!$A$23:$L$52,Working!$F$21,0)="Y",TEXT($C$6,"YYYYMM")&amp;"_"&amp;$E292&amp;"_"&amp;Working!$B$11&amp;Working!$B$12,"")</f>
        <v>201703_TOR03_Top15.xlsx</v>
      </c>
      <c r="N292" s="6" t="str">
        <f>IF(VLOOKUP($C$4,Working!$A$23:$L$52,Working!$I$21,0)="Y",TEXT($C$6,"YYYYMM")&amp;"_"&amp;$E292&amp;"_"&amp;Working!$B$13&amp;Working!$B$14,"")</f>
        <v/>
      </c>
      <c r="O292" s="4"/>
      <c r="P292" s="4"/>
      <c r="Q292" s="41"/>
      <c r="R292" s="41"/>
      <c r="S292" s="41"/>
      <c r="T292" s="41"/>
      <c r="U292" s="41"/>
      <c r="V292" s="4"/>
      <c r="W292" s="4" t="s">
        <v>228</v>
      </c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1:45" s="10" customFormat="1" x14ac:dyDescent="0.3">
      <c r="A293">
        <v>4149</v>
      </c>
      <c r="B293" s="37" t="str">
        <f>VLOOKUP(A293,'Monthly EE List'!A:D,4,0)&amp;" "&amp;VLOOKUP(A293,'Monthly EE List'!A:D,3,0)</f>
        <v>MARC ZDROJEWSKI</v>
      </c>
      <c r="C293" s="37" t="s">
        <v>3123</v>
      </c>
      <c r="D293" s="4" t="s">
        <v>599</v>
      </c>
      <c r="E293" t="s">
        <v>2850</v>
      </c>
      <c r="F293" t="s">
        <v>215</v>
      </c>
      <c r="G293" s="4" t="s">
        <v>2715</v>
      </c>
      <c r="H293" s="4" t="str">
        <f>VLOOKUP(A293,'Monthly EE List'!A:G,7,0)</f>
        <v>A</v>
      </c>
      <c r="I293" t="s">
        <v>211</v>
      </c>
      <c r="J293" s="5">
        <v>41731</v>
      </c>
      <c r="K293" t="s">
        <v>2716</v>
      </c>
      <c r="L293" s="4" t="str">
        <f t="shared" ca="1" si="8"/>
        <v>X</v>
      </c>
      <c r="M293" s="6" t="str">
        <f>IF(VLOOKUP($C$4,Working!$A$23:$L$52,Working!$F$21,0)="Y",TEXT($C$6,"YYYYMM")&amp;"_"&amp;$E293&amp;"_"&amp;Working!$B$11&amp;Working!$B$12,"")</f>
        <v>201703_TOR04_Top15.xlsx</v>
      </c>
      <c r="N293" s="6" t="str">
        <f>IF(VLOOKUP($C$4,Working!$A$23:$L$52,Working!$I$21,0)="Y",TEXT($C$6,"YYYYMM")&amp;"_"&amp;$E293&amp;"_"&amp;Working!$B$13&amp;Working!$B$14,"")</f>
        <v/>
      </c>
      <c r="O293" s="4"/>
      <c r="P293" s="4"/>
      <c r="Q293" s="41"/>
      <c r="R293" s="41"/>
      <c r="S293" s="41"/>
      <c r="T293" s="41"/>
      <c r="U293" s="41"/>
      <c r="V293" s="4"/>
      <c r="W293" s="4" t="s">
        <v>228</v>
      </c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1:45" s="10" customFormat="1" x14ac:dyDescent="0.3">
      <c r="A294">
        <v>4149</v>
      </c>
      <c r="B294" s="37" t="str">
        <f>VLOOKUP(A294,'Monthly EE List'!A:D,4,0)&amp;" "&amp;VLOOKUP(A294,'Monthly EE List'!A:D,3,0)</f>
        <v>MARC ZDROJEWSKI</v>
      </c>
      <c r="C294" s="37" t="s">
        <v>3123</v>
      </c>
      <c r="D294" s="4" t="s">
        <v>599</v>
      </c>
      <c r="E294" t="s">
        <v>3743</v>
      </c>
      <c r="F294" t="s">
        <v>215</v>
      </c>
      <c r="G294" s="4" t="s">
        <v>2715</v>
      </c>
      <c r="H294" s="4" t="str">
        <f>VLOOKUP(A294,'Monthly EE List'!A:G,7,0)</f>
        <v>A</v>
      </c>
      <c r="I294" t="s">
        <v>211</v>
      </c>
      <c r="J294" s="5">
        <v>41731</v>
      </c>
      <c r="K294" t="s">
        <v>2716</v>
      </c>
      <c r="L294" s="4" t="str">
        <f t="shared" ca="1" si="8"/>
        <v>X</v>
      </c>
      <c r="M294" s="6" t="str">
        <f>IF(VLOOKUP($C$4,Working!$A$23:$L$52,Working!$F$21,0)="Y",TEXT($C$6,"YYYYMM")&amp;"_"&amp;$E294&amp;"_"&amp;Working!$B$11&amp;Working!$B$12,"")</f>
        <v>201703_TOR05_Top15.xlsx</v>
      </c>
      <c r="N294" s="6" t="str">
        <f>IF(VLOOKUP($C$4,Working!$A$23:$L$52,Working!$I$21,0)="Y",TEXT($C$6,"YYYYMM")&amp;"_"&amp;$E294&amp;"_"&amp;Working!$B$13&amp;Working!$B$14,"")</f>
        <v/>
      </c>
      <c r="O294" s="4"/>
      <c r="P294" s="4"/>
      <c r="Q294" s="41"/>
      <c r="R294" s="41"/>
      <c r="S294" s="41"/>
      <c r="T294" s="41"/>
      <c r="U294" s="41"/>
      <c r="V294" s="4"/>
      <c r="W294" s="4" t="s">
        <v>228</v>
      </c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1:45" s="10" customFormat="1" x14ac:dyDescent="0.3">
      <c r="A295">
        <v>4181</v>
      </c>
      <c r="B295" s="37" t="str">
        <f>VLOOKUP(A295,'Monthly EE List'!A:D,4,0)&amp;" "&amp;VLOOKUP(A295,'Monthly EE List'!A:D,3,0)</f>
        <v>BARBARA MCKNIGHT</v>
      </c>
      <c r="C295" s="38" t="s">
        <v>3647</v>
      </c>
      <c r="D295" s="4" t="s">
        <v>599</v>
      </c>
      <c r="E295" t="s">
        <v>3648</v>
      </c>
      <c r="F295" t="s">
        <v>217</v>
      </c>
      <c r="G295" s="4" t="s">
        <v>142</v>
      </c>
      <c r="H295" s="4" t="str">
        <f>VLOOKUP(A295,'Monthly EE List'!A:G,7,0)</f>
        <v>A</v>
      </c>
      <c r="I295" t="s">
        <v>211</v>
      </c>
      <c r="J295" s="5">
        <v>42424</v>
      </c>
      <c r="K295" t="s">
        <v>147</v>
      </c>
      <c r="L295" s="4" t="str">
        <f t="shared" ca="1" si="8"/>
        <v/>
      </c>
      <c r="M295" s="6" t="str">
        <f>IF(VLOOKUP($C$4,Working!$A$23:$L$52,Working!$F$21,0)="Y",TEXT($C$6,"YYYYMM")&amp;"_"&amp;$E295&amp;"_"&amp;Working!$B$11&amp;Working!$B$12,"")</f>
        <v>201703_QZ1BM_Top15.xlsx</v>
      </c>
      <c r="N295" s="6" t="str">
        <f>IF(VLOOKUP($C$4,Working!$A$23:$L$52,Working!$I$21,0)="Y",TEXT($C$6,"YYYYMM")&amp;"_"&amp;$E295&amp;"_"&amp;Working!$B$13&amp;Working!$B$14,"")</f>
        <v/>
      </c>
      <c r="O295" s="4" t="s">
        <v>228</v>
      </c>
      <c r="P295" s="4" t="s">
        <v>228</v>
      </c>
      <c r="Q295" s="41"/>
      <c r="R295" s="41"/>
      <c r="S295" s="41"/>
      <c r="T295" s="41"/>
      <c r="U295" s="41" t="s">
        <v>228</v>
      </c>
      <c r="V295" s="59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1:45" s="10" customFormat="1" x14ac:dyDescent="0.3">
      <c r="A296">
        <v>4184</v>
      </c>
      <c r="B296" s="37" t="str">
        <f>VLOOKUP(A296,'Monthly EE List'!A:D,4,0)&amp;" "&amp;VLOOKUP(A296,'Monthly EE List'!A:D,3,0)</f>
        <v>MELANIE DESJARDINS</v>
      </c>
      <c r="C296" s="38" t="s">
        <v>3296</v>
      </c>
      <c r="D296" s="4" t="s">
        <v>599</v>
      </c>
      <c r="E296" t="s">
        <v>3336</v>
      </c>
      <c r="F296" t="s">
        <v>217</v>
      </c>
      <c r="G296" s="4" t="s">
        <v>142</v>
      </c>
      <c r="H296" s="4" t="str">
        <f>VLOOKUP(A296,'Monthly EE List'!A:G,7,0)</f>
        <v>A</v>
      </c>
      <c r="I296" t="s">
        <v>211</v>
      </c>
      <c r="J296" s="5">
        <v>41975</v>
      </c>
      <c r="K296" t="s">
        <v>147</v>
      </c>
      <c r="L296" s="4" t="str">
        <f t="shared" ca="1" si="8"/>
        <v/>
      </c>
      <c r="M296" s="6" t="str">
        <f>IF(VLOOKUP($C$4,Working!$A$23:$L$52,Working!$F$21,0)="Y",TEXT($C$6,"YYYYMM")&amp;"_"&amp;$E296&amp;"_"&amp;Working!$B$11&amp;Working!$B$12,"")</f>
        <v>201703_QZ1MD_Top15.xlsx</v>
      </c>
      <c r="N296" s="6" t="str">
        <f>IF(VLOOKUP($C$4,Working!$A$23:$L$52,Working!$I$21,0)="Y",TEXT($C$6,"YYYYMM")&amp;"_"&amp;$E296&amp;"_"&amp;Working!$B$13&amp;Working!$B$14,"")</f>
        <v/>
      </c>
      <c r="O296" s="4" t="s">
        <v>228</v>
      </c>
      <c r="P296" s="4" t="s">
        <v>228</v>
      </c>
      <c r="Q296" s="41"/>
      <c r="R296" s="41"/>
      <c r="S296" s="41"/>
      <c r="T296" s="41"/>
      <c r="U296" s="41" t="s">
        <v>228</v>
      </c>
      <c r="V296" s="54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1:45" s="10" customFormat="1" x14ac:dyDescent="0.3">
      <c r="A297">
        <v>4186</v>
      </c>
      <c r="B297" s="37" t="str">
        <f>VLOOKUP(A297,'Monthly EE List'!A:D,4,0)&amp;" "&amp;VLOOKUP(A297,'Monthly EE List'!A:D,3,0)</f>
        <v>DAVID LAI</v>
      </c>
      <c r="C297" s="38" t="s">
        <v>3301</v>
      </c>
      <c r="D297" s="4" t="s">
        <v>599</v>
      </c>
      <c r="E297">
        <v>41684</v>
      </c>
      <c r="F297" t="s">
        <v>215</v>
      </c>
      <c r="G297" s="4" t="s">
        <v>244</v>
      </c>
      <c r="H297" s="4" t="str">
        <f>VLOOKUP(A297,'Monthly EE List'!A:G,7,0)</f>
        <v>A</v>
      </c>
      <c r="I297" t="s">
        <v>211</v>
      </c>
      <c r="J297" s="5">
        <v>42007</v>
      </c>
      <c r="K297" t="s">
        <v>551</v>
      </c>
      <c r="L297" s="4" t="str">
        <f t="shared" ca="1" si="8"/>
        <v/>
      </c>
      <c r="M297" s="6" t="str">
        <f>IF(VLOOKUP($C$4,Working!$A$23:$L$52,Working!$F$21,0)="Y",TEXT($C$6,"YYYYMM")&amp;"_"&amp;$E297&amp;"_"&amp;Working!$B$11&amp;Working!$B$12,"")</f>
        <v>201703_41684_Top15.xlsx</v>
      </c>
      <c r="N297" s="6" t="str">
        <f>IF(VLOOKUP($C$4,Working!$A$23:$L$52,Working!$I$21,0)="Y",TEXT($C$6,"YYYYMM")&amp;"_"&amp;$E297&amp;"_"&amp;Working!$B$13&amp;Working!$B$14,"")</f>
        <v/>
      </c>
      <c r="O297" s="4"/>
      <c r="P297" s="59"/>
      <c r="Q297" s="54"/>
      <c r="R297" s="41"/>
      <c r="S297" s="41"/>
      <c r="T297" s="41"/>
      <c r="U297" s="41"/>
      <c r="V297" s="59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1:45" s="10" customFormat="1" x14ac:dyDescent="0.3">
      <c r="A298">
        <v>4187</v>
      </c>
      <c r="B298" s="37" t="str">
        <f>VLOOKUP(A298,'Monthly EE List'!A:D,4,0)&amp;" "&amp;VLOOKUP(A298,'Monthly EE List'!A:D,3,0)</f>
        <v>MARC CYR DES RUISSEAUX</v>
      </c>
      <c r="C298" s="38" t="s">
        <v>3528</v>
      </c>
      <c r="D298" s="4" t="s">
        <v>599</v>
      </c>
      <c r="E298">
        <v>51458</v>
      </c>
      <c r="F298" t="s">
        <v>217</v>
      </c>
      <c r="G298" s="4" t="s">
        <v>244</v>
      </c>
      <c r="H298" s="4" t="str">
        <f>VLOOKUP(A298,'Monthly EE List'!A:G,7,0)</f>
        <v>A</v>
      </c>
      <c r="I298" t="s">
        <v>211</v>
      </c>
      <c r="J298" s="5">
        <v>42007</v>
      </c>
      <c r="K298" t="s">
        <v>551</v>
      </c>
      <c r="L298" s="4" t="str">
        <f t="shared" ca="1" si="8"/>
        <v/>
      </c>
      <c r="M298" s="6" t="str">
        <f>IF(VLOOKUP($C$4,Working!$A$23:$L$52,Working!$F$21,0)="Y",TEXT($C$6,"YYYYMM")&amp;"_"&amp;$E298&amp;"_"&amp;Working!$B$11&amp;Working!$B$12,"")</f>
        <v>201703_51458_Top15.xlsx</v>
      </c>
      <c r="N298" s="6" t="str">
        <f>IF(VLOOKUP($C$4,Working!$A$23:$L$52,Working!$I$21,0)="Y",TEXT($C$6,"YYYYMM")&amp;"_"&amp;$E298&amp;"_"&amp;Working!$B$13&amp;Working!$B$14,"")</f>
        <v/>
      </c>
      <c r="O298" s="4"/>
      <c r="P298" s="59"/>
      <c r="Q298" s="54"/>
      <c r="R298" s="41"/>
      <c r="S298" s="41"/>
      <c r="T298" s="41"/>
      <c r="U298" s="41"/>
      <c r="V298" s="59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1:45" s="10" customFormat="1" x14ac:dyDescent="0.3">
      <c r="A299">
        <v>4192</v>
      </c>
      <c r="B299" s="37" t="str">
        <f>VLOOKUP(A299,'Monthly EE List'!A:D,4,0)&amp;" "&amp;VLOOKUP(A299,'Monthly EE List'!A:D,3,0)</f>
        <v>DARON FISHER</v>
      </c>
      <c r="C299" s="38" t="s">
        <v>3353</v>
      </c>
      <c r="D299" s="4" t="s">
        <v>599</v>
      </c>
      <c r="E299">
        <v>61329</v>
      </c>
      <c r="F299" t="s">
        <v>221</v>
      </c>
      <c r="G299" s="4" t="s">
        <v>244</v>
      </c>
      <c r="H299" s="4" t="str">
        <f>VLOOKUP(A299,'Monthly EE List'!A:G,7,0)</f>
        <v>A</v>
      </c>
      <c r="I299" t="s">
        <v>212</v>
      </c>
      <c r="J299" s="5">
        <v>42461</v>
      </c>
      <c r="K299" s="10" t="s">
        <v>571</v>
      </c>
      <c r="L299" s="4" t="str">
        <f t="shared" ca="1" si="8"/>
        <v/>
      </c>
      <c r="M299" s="6" t="str">
        <f>IF(VLOOKUP($C$4,Working!$A$23:$L$52,Working!$F$21,0)="Y",TEXT($C$6,"YYYYMM")&amp;"_"&amp;$E299&amp;"_"&amp;Working!$B$11&amp;Working!$B$12,"")</f>
        <v>201703_61329_Top15.xlsx</v>
      </c>
      <c r="N299" s="6" t="str">
        <f>IF(VLOOKUP($C$4,Working!$A$23:$L$52,Working!$I$21,0)="Y",TEXT($C$6,"YYYYMM")&amp;"_"&amp;$E299&amp;"_"&amp;Working!$B$13&amp;Working!$B$14,"")</f>
        <v/>
      </c>
      <c r="O299" s="4"/>
      <c r="P299" s="59"/>
      <c r="Q299" s="54"/>
      <c r="R299" s="41"/>
      <c r="S299" s="41"/>
      <c r="T299" s="41"/>
      <c r="U299" s="41"/>
      <c r="V299" s="5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1:45" s="10" customFormat="1" x14ac:dyDescent="0.3">
      <c r="A300">
        <v>4215</v>
      </c>
      <c r="B300" s="37" t="str">
        <f>VLOOKUP(A300,'Monthly EE List'!A:D,4,0)&amp;" "&amp;VLOOKUP(A300,'Monthly EE List'!A:D,3,0)</f>
        <v>JASON SCHULER</v>
      </c>
      <c r="C300" s="37" t="s">
        <v>3123</v>
      </c>
      <c r="D300" s="4" t="s">
        <v>599</v>
      </c>
      <c r="E300" t="s">
        <v>2714</v>
      </c>
      <c r="F300" t="s">
        <v>215</v>
      </c>
      <c r="G300" s="4" t="s">
        <v>2715</v>
      </c>
      <c r="H300" s="4" t="str">
        <f>VLOOKUP(A300,'Monthly EE List'!A:G,7,0)</f>
        <v>A</v>
      </c>
      <c r="I300" t="s">
        <v>211</v>
      </c>
      <c r="J300" s="5">
        <v>41731</v>
      </c>
      <c r="K300" t="s">
        <v>2716</v>
      </c>
      <c r="L300" s="4" t="str">
        <f t="shared" ca="1" si="8"/>
        <v>X</v>
      </c>
      <c r="M300" s="6" t="str">
        <f>IF(VLOOKUP($C$4,Working!$A$23:$L$52,Working!$F$21,0)="Y",TEXT($C$6,"YYYYMM")&amp;"_"&amp;$E300&amp;"_"&amp;Working!$B$11&amp;Working!$B$12,"")</f>
        <v>201703_TOR02_Top15.xlsx</v>
      </c>
      <c r="N300" s="6" t="str">
        <f>IF(VLOOKUP($C$4,Working!$A$23:$L$52,Working!$I$21,0)="Y",TEXT($C$6,"YYYYMM")&amp;"_"&amp;$E300&amp;"_"&amp;Working!$B$13&amp;Working!$B$14,"")</f>
        <v/>
      </c>
      <c r="O300" s="4"/>
      <c r="P300" s="4"/>
      <c r="Q300" s="41"/>
      <c r="R300" s="41"/>
      <c r="S300" s="41"/>
      <c r="T300" s="41"/>
      <c r="U300" s="41"/>
      <c r="V300" s="4"/>
      <c r="W300" s="4" t="s">
        <v>228</v>
      </c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1:45" s="10" customFormat="1" x14ac:dyDescent="0.3">
      <c r="A301">
        <v>4215</v>
      </c>
      <c r="B301" s="37" t="str">
        <f>VLOOKUP(A301,'Monthly EE List'!A:D,4,0)&amp;" "&amp;VLOOKUP(A301,'Monthly EE List'!A:D,3,0)</f>
        <v>JASON SCHULER</v>
      </c>
      <c r="C301" s="37" t="s">
        <v>3123</v>
      </c>
      <c r="D301" s="4" t="s">
        <v>599</v>
      </c>
      <c r="E301" t="s">
        <v>3179</v>
      </c>
      <c r="F301" t="s">
        <v>215</v>
      </c>
      <c r="G301" s="4" t="s">
        <v>2715</v>
      </c>
      <c r="H301" s="4" t="str">
        <f>VLOOKUP(A301,'Monthly EE List'!A:G,7,0)</f>
        <v>A</v>
      </c>
      <c r="I301" t="s">
        <v>211</v>
      </c>
      <c r="J301" s="5">
        <v>41731</v>
      </c>
      <c r="K301" t="s">
        <v>2716</v>
      </c>
      <c r="L301" s="4" t="str">
        <f t="shared" ca="1" si="8"/>
        <v>X</v>
      </c>
      <c r="M301" s="6" t="str">
        <f>IF(VLOOKUP($C$4,Working!$A$23:$L$52,Working!$F$21,0)="Y",TEXT($C$6,"YYYYMM")&amp;"_"&amp;$E301&amp;"_"&amp;Working!$B$11&amp;Working!$B$12,"")</f>
        <v>201703_TOR03_Top15.xlsx</v>
      </c>
      <c r="N301" s="6" t="str">
        <f>IF(VLOOKUP($C$4,Working!$A$23:$L$52,Working!$I$21,0)="Y",TEXT($C$6,"YYYYMM")&amp;"_"&amp;$E301&amp;"_"&amp;Working!$B$13&amp;Working!$B$14,"")</f>
        <v/>
      </c>
      <c r="O301" s="4"/>
      <c r="P301" s="4"/>
      <c r="Q301" s="41"/>
      <c r="R301" s="41"/>
      <c r="S301" s="41"/>
      <c r="T301" s="41"/>
      <c r="U301" s="41"/>
      <c r="V301" s="4"/>
      <c r="W301" s="4" t="s">
        <v>228</v>
      </c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1:45" s="10" customFormat="1" x14ac:dyDescent="0.3">
      <c r="A302">
        <v>4215</v>
      </c>
      <c r="B302" s="37" t="str">
        <f>VLOOKUP(A302,'Monthly EE List'!A:D,4,0)&amp;" "&amp;VLOOKUP(A302,'Monthly EE List'!A:D,3,0)</f>
        <v>JASON SCHULER</v>
      </c>
      <c r="C302" s="37" t="s">
        <v>3123</v>
      </c>
      <c r="D302" s="4" t="s">
        <v>599</v>
      </c>
      <c r="E302" t="s">
        <v>2850</v>
      </c>
      <c r="F302" t="s">
        <v>215</v>
      </c>
      <c r="G302" s="4" t="s">
        <v>2715</v>
      </c>
      <c r="H302" s="4" t="str">
        <f>VLOOKUP(A302,'Monthly EE List'!A:G,7,0)</f>
        <v>A</v>
      </c>
      <c r="I302" t="s">
        <v>211</v>
      </c>
      <c r="J302" s="5">
        <v>41731</v>
      </c>
      <c r="K302" t="s">
        <v>2716</v>
      </c>
      <c r="L302" s="4" t="str">
        <f t="shared" ca="1" si="8"/>
        <v>X</v>
      </c>
      <c r="M302" s="6" t="str">
        <f>IF(VLOOKUP($C$4,Working!$A$23:$L$52,Working!$F$21,0)="Y",TEXT($C$6,"YYYYMM")&amp;"_"&amp;$E302&amp;"_"&amp;Working!$B$11&amp;Working!$B$12,"")</f>
        <v>201703_TOR04_Top15.xlsx</v>
      </c>
      <c r="N302" s="6" t="str">
        <f>IF(VLOOKUP($C$4,Working!$A$23:$L$52,Working!$I$21,0)="Y",TEXT($C$6,"YYYYMM")&amp;"_"&amp;$E302&amp;"_"&amp;Working!$B$13&amp;Working!$B$14,"")</f>
        <v/>
      </c>
      <c r="O302" s="4"/>
      <c r="P302" s="4"/>
      <c r="Q302" s="41"/>
      <c r="R302" s="41"/>
      <c r="S302" s="41"/>
      <c r="T302" s="41"/>
      <c r="U302" s="41"/>
      <c r="V302" s="4"/>
      <c r="W302" s="4" t="s">
        <v>228</v>
      </c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1:45" s="10" customFormat="1" x14ac:dyDescent="0.3">
      <c r="A303">
        <v>4215</v>
      </c>
      <c r="B303" s="37" t="str">
        <f>VLOOKUP(A303,'Monthly EE List'!A:D,4,0)&amp;" "&amp;VLOOKUP(A303,'Monthly EE List'!A:D,3,0)</f>
        <v>JASON SCHULER</v>
      </c>
      <c r="C303" t="s">
        <v>3783</v>
      </c>
      <c r="D303" s="4" t="s">
        <v>599</v>
      </c>
      <c r="E303" t="s">
        <v>3743</v>
      </c>
      <c r="F303" t="s">
        <v>215</v>
      </c>
      <c r="G303" s="4" t="s">
        <v>2715</v>
      </c>
      <c r="H303" s="4" t="str">
        <f>VLOOKUP(A303,'Monthly EE List'!A:G,7,0)</f>
        <v>A</v>
      </c>
      <c r="I303" t="s">
        <v>211</v>
      </c>
      <c r="J303" s="5">
        <v>41731</v>
      </c>
      <c r="K303" t="s">
        <v>2716</v>
      </c>
      <c r="L303" s="4" t="str">
        <f t="shared" ca="1" si="8"/>
        <v>X</v>
      </c>
      <c r="M303" s="6" t="str">
        <f>IF(VLOOKUP($C$4,Working!$A$23:$L$52,Working!$F$21,0)="Y",TEXT($C$6,"YYYYMM")&amp;"_"&amp;$E303&amp;"_"&amp;Working!$B$11&amp;Working!$B$12,"")</f>
        <v>201703_TOR05_Top15.xlsx</v>
      </c>
      <c r="N303" s="6" t="str">
        <f>IF(VLOOKUP($C$4,Working!$A$23:$L$52,Working!$I$21,0)="Y",TEXT($C$6,"YYYYMM")&amp;"_"&amp;$E303&amp;"_"&amp;Working!$B$13&amp;Working!$B$14,"")</f>
        <v/>
      </c>
      <c r="O303" s="4"/>
      <c r="P303" s="4"/>
      <c r="Q303" s="41"/>
      <c r="R303" s="41"/>
      <c r="S303" s="41"/>
      <c r="T303" s="41"/>
      <c r="U303" s="41"/>
      <c r="V303" s="4"/>
      <c r="W303" s="4" t="s">
        <v>228</v>
      </c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1:45" s="10" customFormat="1" x14ac:dyDescent="0.3">
      <c r="A304">
        <v>4233</v>
      </c>
      <c r="B304" s="37" t="str">
        <f>VLOOKUP(A304,'Monthly EE List'!A:D,4,0)&amp;" "&amp;VLOOKUP(A304,'Monthly EE List'!A:D,3,0)</f>
        <v>SHAWN ALTRO</v>
      </c>
      <c r="C304" s="37" t="s">
        <v>3555</v>
      </c>
      <c r="D304" s="4" t="s">
        <v>599</v>
      </c>
      <c r="E304" t="s">
        <v>2714</v>
      </c>
      <c r="F304" t="s">
        <v>215</v>
      </c>
      <c r="G304" s="4" t="s">
        <v>2715</v>
      </c>
      <c r="H304" s="4" t="str">
        <f>VLOOKUP(A304,'Monthly EE List'!A:G,7,0)</f>
        <v>A</v>
      </c>
      <c r="I304" t="s">
        <v>211</v>
      </c>
      <c r="J304" s="5">
        <v>42279</v>
      </c>
      <c r="K304" t="s">
        <v>2716</v>
      </c>
      <c r="L304" s="4" t="str">
        <f t="shared" ca="1" si="8"/>
        <v>X</v>
      </c>
      <c r="M304" s="6" t="str">
        <f>IF(VLOOKUP($C$4,Working!$A$23:$L$52,Working!$F$21,0)="Y",TEXT($C$6,"YYYYMM")&amp;"_"&amp;$E304&amp;"_"&amp;Working!$B$11&amp;Working!$B$12,"")</f>
        <v>201703_TOR02_Top15.xlsx</v>
      </c>
      <c r="N304" s="6" t="str">
        <f>IF(VLOOKUP($C$4,Working!$A$23:$L$52,Working!$I$21,0)="Y",TEXT($C$6,"YYYYMM")&amp;"_"&amp;$E304&amp;"_"&amp;Working!$B$13&amp;Working!$B$14,"")</f>
        <v/>
      </c>
      <c r="O304" s="4"/>
      <c r="P304" s="4"/>
      <c r="Q304" s="41"/>
      <c r="R304" s="41"/>
      <c r="S304" s="41"/>
      <c r="T304" s="41"/>
      <c r="U304" s="41"/>
      <c r="V304" s="4"/>
      <c r="W304" s="4" t="s">
        <v>228</v>
      </c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1:45" s="10" customFormat="1" x14ac:dyDescent="0.3">
      <c r="A305">
        <v>4233</v>
      </c>
      <c r="B305" s="37" t="str">
        <f>VLOOKUP(A305,'Monthly EE List'!A:D,4,0)&amp;" "&amp;VLOOKUP(A305,'Monthly EE List'!A:D,3,0)</f>
        <v>SHAWN ALTRO</v>
      </c>
      <c r="C305" s="37" t="s">
        <v>3555</v>
      </c>
      <c r="D305" s="4" t="s">
        <v>599</v>
      </c>
      <c r="E305" t="s">
        <v>3179</v>
      </c>
      <c r="F305" t="s">
        <v>215</v>
      </c>
      <c r="G305" s="4" t="s">
        <v>2715</v>
      </c>
      <c r="H305" s="4" t="str">
        <f>VLOOKUP(A305,'Monthly EE List'!A:G,7,0)</f>
        <v>A</v>
      </c>
      <c r="I305" t="s">
        <v>211</v>
      </c>
      <c r="J305" s="5">
        <v>42279</v>
      </c>
      <c r="K305" t="s">
        <v>2716</v>
      </c>
      <c r="L305" s="4" t="str">
        <f t="shared" ca="1" si="8"/>
        <v>X</v>
      </c>
      <c r="M305" s="6" t="str">
        <f>IF(VLOOKUP($C$4,Working!$A$23:$L$52,Working!$F$21,0)="Y",TEXT($C$6,"YYYYMM")&amp;"_"&amp;$E305&amp;"_"&amp;Working!$B$11&amp;Working!$B$12,"")</f>
        <v>201703_TOR03_Top15.xlsx</v>
      </c>
      <c r="N305" s="6" t="str">
        <f>IF(VLOOKUP($C$4,Working!$A$23:$L$52,Working!$I$21,0)="Y",TEXT($C$6,"YYYYMM")&amp;"_"&amp;$E305&amp;"_"&amp;Working!$B$13&amp;Working!$B$14,"")</f>
        <v/>
      </c>
      <c r="O305" s="4"/>
      <c r="P305" s="4"/>
      <c r="Q305" s="41"/>
      <c r="R305" s="41"/>
      <c r="S305" s="41"/>
      <c r="T305" s="41"/>
      <c r="U305" s="41"/>
      <c r="V305" s="4"/>
      <c r="W305" s="4" t="s">
        <v>228</v>
      </c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1:45" s="10" customFormat="1" x14ac:dyDescent="0.3">
      <c r="A306">
        <v>4233</v>
      </c>
      <c r="B306" s="37" t="str">
        <f>VLOOKUP(A306,'Monthly EE List'!A:D,4,0)&amp;" "&amp;VLOOKUP(A306,'Monthly EE List'!A:D,3,0)</f>
        <v>SHAWN ALTRO</v>
      </c>
      <c r="C306" s="37" t="s">
        <v>3555</v>
      </c>
      <c r="D306" s="4" t="s">
        <v>599</v>
      </c>
      <c r="E306" t="s">
        <v>2850</v>
      </c>
      <c r="F306" t="s">
        <v>215</v>
      </c>
      <c r="G306" s="4" t="s">
        <v>2715</v>
      </c>
      <c r="H306" s="4" t="str">
        <f>VLOOKUP(A306,'Monthly EE List'!A:G,7,0)</f>
        <v>A</v>
      </c>
      <c r="I306" t="s">
        <v>211</v>
      </c>
      <c r="J306" s="5">
        <v>42279</v>
      </c>
      <c r="K306" t="s">
        <v>2716</v>
      </c>
      <c r="L306" s="4" t="str">
        <f t="shared" ca="1" si="8"/>
        <v>X</v>
      </c>
      <c r="M306" s="6" t="str">
        <f>IF(VLOOKUP($C$4,Working!$A$23:$L$52,Working!$F$21,0)="Y",TEXT($C$6,"YYYYMM")&amp;"_"&amp;$E306&amp;"_"&amp;Working!$B$11&amp;Working!$B$12,"")</f>
        <v>201703_TOR04_Top15.xlsx</v>
      </c>
      <c r="N306" s="6" t="str">
        <f>IF(VLOOKUP($C$4,Working!$A$23:$L$52,Working!$I$21,0)="Y",TEXT($C$6,"YYYYMM")&amp;"_"&amp;$E306&amp;"_"&amp;Working!$B$13&amp;Working!$B$14,"")</f>
        <v/>
      </c>
      <c r="O306" s="4"/>
      <c r="P306" s="4"/>
      <c r="Q306" s="41"/>
      <c r="R306" s="41"/>
      <c r="S306" s="41"/>
      <c r="T306" s="41"/>
      <c r="U306" s="41"/>
      <c r="V306" s="4"/>
      <c r="W306" s="4" t="s">
        <v>228</v>
      </c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1:45" s="10" customFormat="1" x14ac:dyDescent="0.3">
      <c r="A307">
        <v>4233</v>
      </c>
      <c r="B307" s="37" t="str">
        <f>VLOOKUP(A307,'Monthly EE List'!A:D,4,0)&amp;" "&amp;VLOOKUP(A307,'Monthly EE List'!A:D,3,0)</f>
        <v>SHAWN ALTRO</v>
      </c>
      <c r="C307" s="37" t="s">
        <v>3555</v>
      </c>
      <c r="D307" s="4" t="s">
        <v>599</v>
      </c>
      <c r="E307" t="s">
        <v>3743</v>
      </c>
      <c r="F307" t="s">
        <v>215</v>
      </c>
      <c r="G307" s="4" t="s">
        <v>2715</v>
      </c>
      <c r="H307" s="4" t="str">
        <f>VLOOKUP(A307,'Monthly EE List'!A:G,7,0)</f>
        <v>A</v>
      </c>
      <c r="I307" t="s">
        <v>211</v>
      </c>
      <c r="J307" s="5">
        <v>42279</v>
      </c>
      <c r="K307" t="s">
        <v>2716</v>
      </c>
      <c r="L307" s="4" t="str">
        <f t="shared" ca="1" si="8"/>
        <v>X</v>
      </c>
      <c r="M307" s="6" t="str">
        <f>IF(VLOOKUP($C$4,Working!$A$23:$L$52,Working!$F$21,0)="Y",TEXT($C$6,"YYYYMM")&amp;"_"&amp;$E307&amp;"_"&amp;Working!$B$11&amp;Working!$B$12,"")</f>
        <v>201703_TOR05_Top15.xlsx</v>
      </c>
      <c r="N307" s="6" t="str">
        <f>IF(VLOOKUP($C$4,Working!$A$23:$L$52,Working!$I$21,0)="Y",TEXT($C$6,"YYYYMM")&amp;"_"&amp;$E307&amp;"_"&amp;Working!$B$13&amp;Working!$B$14,"")</f>
        <v/>
      </c>
      <c r="O307" s="4"/>
      <c r="P307" s="4"/>
      <c r="Q307" s="41"/>
      <c r="R307" s="41"/>
      <c r="S307" s="41"/>
      <c r="T307" s="41"/>
      <c r="U307" s="41"/>
      <c r="V307" s="4"/>
      <c r="W307" s="4" t="s">
        <v>228</v>
      </c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1:45" s="10" customFormat="1" x14ac:dyDescent="0.3">
      <c r="A308">
        <v>4235</v>
      </c>
      <c r="B308" s="37" t="str">
        <f>VLOOKUP(A308,'Monthly EE List'!A:D,4,0)&amp;" "&amp;VLOOKUP(A308,'Monthly EE List'!A:D,3,0)</f>
        <v>FERDINAND KUMATI</v>
      </c>
      <c r="C308" s="38" t="s">
        <v>3546</v>
      </c>
      <c r="D308" s="4" t="s">
        <v>599</v>
      </c>
      <c r="E308">
        <v>41687</v>
      </c>
      <c r="F308" t="s">
        <v>215</v>
      </c>
      <c r="G308" s="4" t="s">
        <v>244</v>
      </c>
      <c r="H308" s="4" t="str">
        <f>VLOOKUP(A308,'Monthly EE List'!A:G,7,0)</f>
        <v>A</v>
      </c>
      <c r="I308" t="s">
        <v>211</v>
      </c>
      <c r="J308" s="5">
        <v>42277</v>
      </c>
      <c r="K308" t="s">
        <v>551</v>
      </c>
      <c r="L308" s="4" t="str">
        <f t="shared" ca="1" si="8"/>
        <v/>
      </c>
      <c r="M308" s="6" t="str">
        <f>IF(VLOOKUP($C$4,Working!$A$23:$L$52,Working!$F$21,0)="Y",TEXT($C$6,"YYYYMM")&amp;"_"&amp;$E308&amp;"_"&amp;Working!$B$11&amp;Working!$B$12,"")</f>
        <v>201703_41687_Top15.xlsx</v>
      </c>
      <c r="N308" s="6" t="str">
        <f>IF(VLOOKUP($C$4,Working!$A$23:$L$52,Working!$I$21,0)="Y",TEXT($C$6,"YYYYMM")&amp;"_"&amp;$E308&amp;"_"&amp;Working!$B$13&amp;Working!$B$14,"")</f>
        <v/>
      </c>
      <c r="O308" s="4"/>
      <c r="P308" s="59"/>
      <c r="Q308" s="54"/>
      <c r="R308" s="41"/>
      <c r="S308" s="41"/>
      <c r="T308" s="41"/>
      <c r="U308" s="41"/>
      <c r="V308" s="59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1:45" s="10" customFormat="1" x14ac:dyDescent="0.3">
      <c r="A309">
        <v>4239</v>
      </c>
      <c r="B309" s="37" t="str">
        <f>VLOOKUP(A309,'Monthly EE List'!A:D,4,0)&amp;" "&amp;VLOOKUP(A309,'Monthly EE List'!A:D,3,0)</f>
        <v>JONATHAN BOIVIN</v>
      </c>
      <c r="C309" s="38" t="s">
        <v>3582</v>
      </c>
      <c r="D309" s="4" t="s">
        <v>599</v>
      </c>
      <c r="E309">
        <v>51460</v>
      </c>
      <c r="F309" t="s">
        <v>217</v>
      </c>
      <c r="G309" s="4" t="s">
        <v>244</v>
      </c>
      <c r="H309" s="4" t="str">
        <f>VLOOKUP(A309,'Monthly EE List'!A:G,7,0)</f>
        <v>A</v>
      </c>
      <c r="I309" t="s">
        <v>211</v>
      </c>
      <c r="J309" s="5">
        <v>42291</v>
      </c>
      <c r="K309" t="s">
        <v>551</v>
      </c>
      <c r="L309" s="4" t="str">
        <f t="shared" ca="1" si="8"/>
        <v/>
      </c>
      <c r="M309" s="6" t="str">
        <f>IF(VLOOKUP($C$4,Working!$A$23:$L$52,Working!$F$21,0)="Y",TEXT($C$6,"YYYYMM")&amp;"_"&amp;$E309&amp;"_"&amp;Working!$B$11&amp;Working!$B$12,"")</f>
        <v>201703_51460_Top15.xlsx</v>
      </c>
      <c r="N309" s="6" t="str">
        <f>IF(VLOOKUP($C$4,Working!$A$23:$L$52,Working!$I$21,0)="Y",TEXT($C$6,"YYYYMM")&amp;"_"&amp;$E309&amp;"_"&amp;Working!$B$13&amp;Working!$B$14,"")</f>
        <v/>
      </c>
      <c r="O309" s="4"/>
      <c r="P309" s="59"/>
      <c r="Q309" s="54"/>
      <c r="R309" s="41"/>
      <c r="S309" s="41"/>
      <c r="T309" s="41"/>
      <c r="U309" s="41"/>
      <c r="V309" s="5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1:45" s="10" customFormat="1" x14ac:dyDescent="0.3">
      <c r="A310">
        <v>4243</v>
      </c>
      <c r="B310" s="37" t="str">
        <f>VLOOKUP(A310,'Monthly EE List'!A:D,4,0)&amp;" "&amp;VLOOKUP(A310,'Monthly EE List'!A:D,3,0)</f>
        <v>RACHEL ROMBOUTS</v>
      </c>
      <c r="C310" s="38" t="s">
        <v>3586</v>
      </c>
      <c r="D310" s="4" t="s">
        <v>599</v>
      </c>
      <c r="E310" t="s">
        <v>3590</v>
      </c>
      <c r="F310" t="s">
        <v>218</v>
      </c>
      <c r="G310" s="4" t="s">
        <v>142</v>
      </c>
      <c r="H310" s="4" t="str">
        <f>VLOOKUP(A310,'Monthly EE List'!A:G,7,0)</f>
        <v>A</v>
      </c>
      <c r="I310" t="s">
        <v>211</v>
      </c>
      <c r="J310" s="5">
        <v>42327</v>
      </c>
      <c r="K310" t="s">
        <v>147</v>
      </c>
      <c r="L310" s="4" t="str">
        <f t="shared" ca="1" si="8"/>
        <v/>
      </c>
      <c r="M310" s="6" t="str">
        <f>IF(VLOOKUP($C$4,Working!$A$23:$L$52,Working!$F$21,0)="Y",TEXT($C$6,"YYYYMM")&amp;"_"&amp;$E310&amp;"_"&amp;Working!$B$11&amp;Working!$B$12,"")</f>
        <v>201703_CZ1RR_Top15.xlsx</v>
      </c>
      <c r="N310" s="6" t="str">
        <f>IF(VLOOKUP($C$4,Working!$A$23:$L$52,Working!$I$21,0)="Y",TEXT($C$6,"YYYYMM")&amp;"_"&amp;$E310&amp;"_"&amp;Working!$B$13&amp;Working!$B$14,"")</f>
        <v/>
      </c>
      <c r="O310" s="4" t="s">
        <v>228</v>
      </c>
      <c r="P310" s="54"/>
      <c r="Q310" s="41"/>
      <c r="R310" s="41"/>
      <c r="S310" s="41"/>
      <c r="T310" s="41"/>
      <c r="U310" s="41" t="s">
        <v>228</v>
      </c>
      <c r="V310" s="59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1:45" s="10" customFormat="1" x14ac:dyDescent="0.3">
      <c r="A311">
        <v>4245</v>
      </c>
      <c r="B311" s="37" t="str">
        <f>VLOOKUP(A311,'Monthly EE List'!A:D,4,0)&amp;" "&amp;VLOOKUP(A311,'Monthly EE List'!A:D,3,0)</f>
        <v>JANICE BRUCE</v>
      </c>
      <c r="C311" s="38" t="s">
        <v>3585</v>
      </c>
      <c r="D311" s="4" t="s">
        <v>599</v>
      </c>
      <c r="E311" t="s">
        <v>3588</v>
      </c>
      <c r="F311" t="s">
        <v>220</v>
      </c>
      <c r="G311" s="4" t="s">
        <v>142</v>
      </c>
      <c r="H311" s="4" t="str">
        <f>VLOOKUP(A311,'Monthly EE List'!A:G,7,0)</f>
        <v>A</v>
      </c>
      <c r="I311" t="s">
        <v>211</v>
      </c>
      <c r="J311" s="5">
        <v>42327</v>
      </c>
      <c r="K311" t="s">
        <v>147</v>
      </c>
      <c r="L311" s="4" t="str">
        <f t="shared" ca="1" si="8"/>
        <v/>
      </c>
      <c r="M311" s="6" t="str">
        <f>IF(VLOOKUP($C$4,Working!$A$23:$L$52,Working!$F$21,0)="Y",TEXT($C$6,"YYYYMM")&amp;"_"&amp;$E311&amp;"_"&amp;Working!$B$11&amp;Working!$B$12,"")</f>
        <v>201703_AZ1JB_Top15.xlsx</v>
      </c>
      <c r="N311" s="6" t="str">
        <f>IF(VLOOKUP($C$4,Working!$A$23:$L$52,Working!$I$21,0)="Y",TEXT($C$6,"YYYYMM")&amp;"_"&amp;$E311&amp;"_"&amp;Working!$B$13&amp;Working!$B$14,"")</f>
        <v/>
      </c>
      <c r="O311" s="4" t="s">
        <v>228</v>
      </c>
      <c r="P311" s="4" t="s">
        <v>228</v>
      </c>
      <c r="Q311" s="41"/>
      <c r="R311" s="41"/>
      <c r="S311" s="41"/>
      <c r="T311" s="41"/>
      <c r="U311" s="41" t="s">
        <v>228</v>
      </c>
      <c r="V311" s="59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1:45" s="10" customFormat="1" x14ac:dyDescent="0.3">
      <c r="A312">
        <v>4246</v>
      </c>
      <c r="B312" s="37" t="str">
        <f>VLOOKUP(A312,'Monthly EE List'!A:D,4,0)&amp;" "&amp;VLOOKUP(A312,'Monthly EE List'!A:D,3,0)</f>
        <v>YANICK LEFEBVRE</v>
      </c>
      <c r="C312" s="38" t="s">
        <v>3587</v>
      </c>
      <c r="D312" s="4" t="s">
        <v>599</v>
      </c>
      <c r="E312">
        <v>51461</v>
      </c>
      <c r="F312" t="s">
        <v>217</v>
      </c>
      <c r="G312" s="4" t="s">
        <v>244</v>
      </c>
      <c r="H312" s="4" t="str">
        <f>VLOOKUP(A312,'Monthly EE List'!A:G,7,0)</f>
        <v>A</v>
      </c>
      <c r="I312" t="s">
        <v>212</v>
      </c>
      <c r="J312" s="5">
        <v>42367</v>
      </c>
      <c r="K312" t="s">
        <v>2366</v>
      </c>
      <c r="L312" s="4" t="str">
        <f t="shared" ca="1" si="8"/>
        <v/>
      </c>
      <c r="M312" s="6" t="str">
        <f>IF(VLOOKUP($C$4,Working!$A$23:$L$52,Working!$F$21,0)="Y",TEXT($C$6,"YYYYMM")&amp;"_"&amp;$E312&amp;"_"&amp;Working!$B$11&amp;Working!$B$12,"")</f>
        <v>201703_51461_Top15.xlsx</v>
      </c>
      <c r="N312" s="6" t="str">
        <f>IF(VLOOKUP($C$4,Working!$A$23:$L$52,Working!$I$21,0)="Y",TEXT($C$6,"YYYYMM")&amp;"_"&amp;$E312&amp;"_"&amp;Working!$B$13&amp;Working!$B$14,"")</f>
        <v/>
      </c>
      <c r="O312" s="4"/>
      <c r="P312" s="59"/>
      <c r="Q312" s="54"/>
      <c r="R312" s="41"/>
      <c r="S312" s="41"/>
      <c r="T312" s="41"/>
      <c r="U312" s="41"/>
      <c r="V312" s="59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1:45" s="10" customFormat="1" x14ac:dyDescent="0.3">
      <c r="A313">
        <v>4247</v>
      </c>
      <c r="B313" s="37" t="str">
        <f>VLOOKUP(A313,'Monthly EE List'!A:D,4,0)&amp;" "&amp;VLOOKUP(A313,'Monthly EE List'!A:D,3,0)</f>
        <v>ALEXANDRA ZERN</v>
      </c>
      <c r="C313" s="38" t="s">
        <v>3787</v>
      </c>
      <c r="D313" s="4" t="s">
        <v>599</v>
      </c>
      <c r="E313" t="s">
        <v>3613</v>
      </c>
      <c r="F313" t="s">
        <v>215</v>
      </c>
      <c r="G313" s="4" t="s">
        <v>142</v>
      </c>
      <c r="H313" s="4" t="str">
        <f>VLOOKUP(A313,'Monthly EE List'!A:G,7,0)</f>
        <v>A</v>
      </c>
      <c r="I313" t="s">
        <v>211</v>
      </c>
      <c r="J313" s="5">
        <v>42354</v>
      </c>
      <c r="K313" t="s">
        <v>147</v>
      </c>
      <c r="L313" s="4" t="str">
        <f t="shared" ca="1" si="8"/>
        <v/>
      </c>
      <c r="M313" s="6" t="str">
        <f>IF(VLOOKUP($C$4,Working!$A$23:$L$52,Working!$F$21,0)="Y",TEXT($C$6,"YYYYMM")&amp;"_"&amp;$E313&amp;"_"&amp;Working!$B$11&amp;Working!$B$12,"")</f>
        <v>201703_CZ1AD_Top15.xlsx</v>
      </c>
      <c r="N313" s="6" t="str">
        <f>IF(VLOOKUP($C$4,Working!$A$23:$L$52,Working!$I$21,0)="Y",TEXT($C$6,"YYYYMM")&amp;"_"&amp;$E313&amp;"_"&amp;Working!$B$13&amp;Working!$B$14,"")</f>
        <v/>
      </c>
      <c r="O313" s="4" t="s">
        <v>228</v>
      </c>
      <c r="P313" s="4" t="s">
        <v>228</v>
      </c>
      <c r="Q313" s="41"/>
      <c r="R313" s="41"/>
      <c r="S313" s="41"/>
      <c r="T313" s="41"/>
      <c r="U313" s="41" t="s">
        <v>228</v>
      </c>
      <c r="V313" s="59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1:45" s="10" customFormat="1" x14ac:dyDescent="0.3">
      <c r="A314">
        <v>4249</v>
      </c>
      <c r="B314" s="37" t="str">
        <f>VLOOKUP(A314,'Monthly EE List'!A:D,4,0)&amp;" "&amp;VLOOKUP(A314,'Monthly EE List'!A:D,3,0)</f>
        <v>MICHAEL BROMBERG</v>
      </c>
      <c r="C314" s="38" t="s">
        <v>3614</v>
      </c>
      <c r="D314" s="4" t="s">
        <v>599</v>
      </c>
      <c r="E314">
        <v>61330</v>
      </c>
      <c r="F314" t="s">
        <v>221</v>
      </c>
      <c r="G314" s="4" t="s">
        <v>244</v>
      </c>
      <c r="H314" s="4" t="str">
        <f>VLOOKUP(A314,'Monthly EE List'!A:G,7,0)</f>
        <v>A</v>
      </c>
      <c r="I314" t="s">
        <v>211</v>
      </c>
      <c r="J314" s="5">
        <v>42383</v>
      </c>
      <c r="K314" t="s">
        <v>551</v>
      </c>
      <c r="L314" s="4" t="str">
        <f t="shared" ca="1" si="8"/>
        <v/>
      </c>
      <c r="M314" s="6" t="str">
        <f>IF(VLOOKUP($C$4,Working!$A$23:$L$52,Working!$F$21,0)="Y",TEXT($C$6,"YYYYMM")&amp;"_"&amp;$E314&amp;"_"&amp;Working!$B$11&amp;Working!$B$12,"")</f>
        <v>201703_61330_Top15.xlsx</v>
      </c>
      <c r="N314" s="6" t="str">
        <f>IF(VLOOKUP($C$4,Working!$A$23:$L$52,Working!$I$21,0)="Y",TEXT($C$6,"YYYYMM")&amp;"_"&amp;$E314&amp;"_"&amp;Working!$B$13&amp;Working!$B$14,"")</f>
        <v/>
      </c>
      <c r="O314" s="4"/>
      <c r="P314" s="59"/>
      <c r="Q314" s="54"/>
      <c r="R314" s="41"/>
      <c r="S314" s="41"/>
      <c r="T314" s="41"/>
      <c r="U314" s="41"/>
      <c r="V314" s="59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  <row r="315" spans="1:45" s="10" customFormat="1" x14ac:dyDescent="0.3">
      <c r="A315">
        <v>4258</v>
      </c>
      <c r="B315" s="37" t="str">
        <f>VLOOKUP(A315,'Monthly EE List'!A:D,4,0)&amp;" "&amp;VLOOKUP(A315,'Monthly EE List'!A:D,3,0)</f>
        <v>MARIE-EVE LECLERC</v>
      </c>
      <c r="C315" s="38" t="s">
        <v>3628</v>
      </c>
      <c r="D315" s="4" t="s">
        <v>599</v>
      </c>
      <c r="E315" t="s">
        <v>3631</v>
      </c>
      <c r="F315" t="s">
        <v>219</v>
      </c>
      <c r="G315" s="4" t="s">
        <v>142</v>
      </c>
      <c r="H315" s="4" t="str">
        <f>VLOOKUP(A315,'Monthly EE List'!A:G,7,0)</f>
        <v>LOA</v>
      </c>
      <c r="I315" t="s">
        <v>211</v>
      </c>
      <c r="J315" s="5">
        <v>42660</v>
      </c>
      <c r="K315" s="43" t="s">
        <v>145</v>
      </c>
      <c r="L315" s="4" t="str">
        <f t="shared" ca="1" si="8"/>
        <v/>
      </c>
      <c r="M315" s="6" t="str">
        <f>IF(VLOOKUP($C$4,Working!$A$23:$L$52,Working!$F$21,0)="Y",TEXT($C$6,"YYYYMM")&amp;"_"&amp;$E315&amp;"_"&amp;Working!$B$11&amp;Working!$B$12,"")</f>
        <v>201703_QZ1ML_Top15.xlsx</v>
      </c>
      <c r="N315" s="6" t="str">
        <f>IF(VLOOKUP($C$4,Working!$A$23:$L$52,Working!$I$21,0)="Y",TEXT($C$6,"YYYYMM")&amp;"_"&amp;$E315&amp;"_"&amp;Working!$B$13&amp;Working!$B$14,"")</f>
        <v/>
      </c>
      <c r="O315" s="4" t="s">
        <v>228</v>
      </c>
      <c r="P315" s="54"/>
      <c r="Q315" s="41"/>
      <c r="R315" s="41"/>
      <c r="S315" s="41"/>
      <c r="T315" s="41"/>
      <c r="U315" s="54"/>
      <c r="V315" s="59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</row>
    <row r="316" spans="1:45" s="10" customFormat="1" x14ac:dyDescent="0.3">
      <c r="A316" s="50">
        <v>4260</v>
      </c>
      <c r="B316" s="37" t="str">
        <f>VLOOKUP(A316,'Monthly EE List'!A:D,4,0)&amp;" "&amp;VLOOKUP(A316,'Monthly EE List'!A:D,3,0)</f>
        <v>DENISE KUSINSKI</v>
      </c>
      <c r="C316" s="38" t="s">
        <v>3650</v>
      </c>
      <c r="D316" s="4" t="s">
        <v>599</v>
      </c>
      <c r="E316" t="s">
        <v>2864</v>
      </c>
      <c r="F316" t="s">
        <v>2864</v>
      </c>
      <c r="G316" s="4" t="s">
        <v>2715</v>
      </c>
      <c r="H316" s="4" t="str">
        <f>VLOOKUP(A316,'Monthly EE List'!A:G,7,0)</f>
        <v>A</v>
      </c>
      <c r="I316" t="s">
        <v>211</v>
      </c>
      <c r="J316" s="5">
        <v>42432</v>
      </c>
      <c r="K316" t="s">
        <v>2716</v>
      </c>
      <c r="L316" s="4" t="str">
        <f t="shared" ca="1" si="8"/>
        <v>X</v>
      </c>
      <c r="M316" s="6" t="str">
        <f>IF(VLOOKUP($C$4,Working!$A$23:$L$52,Working!$F$21,0)="Y",TEXT($C$6,"YYYYMM")&amp;"_"&amp;$E316&amp;"_"&amp;Working!$B$11&amp;Working!$B$12,"")</f>
        <v>201703_Zahn_Top15.xlsx</v>
      </c>
      <c r="N316" s="6" t="str">
        <f>IF(VLOOKUP($C$4,Working!$A$23:$L$52,Working!$I$21,0)="Y",TEXT($C$6,"YYYYMM")&amp;"_"&amp;$E316&amp;"_"&amp;Working!$B$13&amp;Working!$B$14,"")</f>
        <v/>
      </c>
      <c r="O316" s="4"/>
      <c r="P316" s="4"/>
      <c r="Q316" s="41"/>
      <c r="R316" s="41"/>
      <c r="S316" s="41"/>
      <c r="T316" s="41"/>
      <c r="U316" s="4"/>
      <c r="V316" s="4"/>
      <c r="W316" s="4" t="s">
        <v>228</v>
      </c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</row>
    <row r="317" spans="1:45" s="10" customFormat="1" x14ac:dyDescent="0.3">
      <c r="A317">
        <v>4262</v>
      </c>
      <c r="B317" s="37" t="str">
        <f>VLOOKUP(A317,'Monthly EE List'!A:D,4,0)&amp;" "&amp;VLOOKUP(A317,'Monthly EE List'!A:D,3,0)</f>
        <v>CHERRY CHEN-EGAN</v>
      </c>
      <c r="C317" s="38" t="s">
        <v>3782</v>
      </c>
      <c r="D317" s="4" t="s">
        <v>599</v>
      </c>
      <c r="E317" t="s">
        <v>2714</v>
      </c>
      <c r="F317" t="s">
        <v>215</v>
      </c>
      <c r="G317" s="4" t="s">
        <v>2715</v>
      </c>
      <c r="H317" s="4" t="str">
        <f>VLOOKUP(A317,'Monthly EE List'!A:G,7,0)</f>
        <v>A</v>
      </c>
      <c r="I317" t="s">
        <v>211</v>
      </c>
      <c r="J317" s="5">
        <v>41733</v>
      </c>
      <c r="K317" t="s">
        <v>3125</v>
      </c>
      <c r="L317" s="4" t="str">
        <f t="shared" ca="1" si="8"/>
        <v>X</v>
      </c>
      <c r="M317" s="6" t="str">
        <f>IF(VLOOKUP($C$4,Working!$A$23:$L$52,Working!$F$21,0)="Y",TEXT($C$6,"YYYYMM")&amp;"_"&amp;$E317&amp;"_"&amp;Working!$B$11&amp;Working!$B$12,"")</f>
        <v>201703_TOR02_Top15.xlsx</v>
      </c>
      <c r="N317" s="6" t="str">
        <f>IF(VLOOKUP($C$4,Working!$A$23:$L$52,Working!$I$21,0)="Y",TEXT($C$6,"YYYYMM")&amp;"_"&amp;$E317&amp;"_"&amp;Working!$B$13&amp;Working!$B$14,"")</f>
        <v/>
      </c>
      <c r="O317" s="4"/>
      <c r="P317" s="4"/>
      <c r="Q317" s="41"/>
      <c r="R317" s="41"/>
      <c r="S317" s="41"/>
      <c r="T317" s="41"/>
      <c r="U317" s="41"/>
      <c r="V317" s="4"/>
      <c r="W317" s="4" t="s">
        <v>228</v>
      </c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</row>
    <row r="318" spans="1:45" s="10" customFormat="1" x14ac:dyDescent="0.3">
      <c r="A318">
        <v>4262</v>
      </c>
      <c r="B318" s="37" t="str">
        <f>VLOOKUP(A318,'Monthly EE List'!A:D,4,0)&amp;" "&amp;VLOOKUP(A318,'Monthly EE List'!A:D,3,0)</f>
        <v>CHERRY CHEN-EGAN</v>
      </c>
      <c r="C318" s="38" t="s">
        <v>3782</v>
      </c>
      <c r="D318" s="4" t="s">
        <v>599</v>
      </c>
      <c r="E318" t="s">
        <v>3179</v>
      </c>
      <c r="F318" t="s">
        <v>215</v>
      </c>
      <c r="G318" s="4" t="s">
        <v>2715</v>
      </c>
      <c r="H318" s="4" t="str">
        <f>VLOOKUP(A318,'Monthly EE List'!A:G,7,0)</f>
        <v>A</v>
      </c>
      <c r="I318" t="s">
        <v>211</v>
      </c>
      <c r="J318" s="5">
        <v>41733</v>
      </c>
      <c r="K318" t="s">
        <v>3125</v>
      </c>
      <c r="L318" s="4" t="str">
        <f t="shared" ca="1" si="8"/>
        <v>X</v>
      </c>
      <c r="M318" s="6" t="str">
        <f>IF(VLOOKUP($C$4,Working!$A$23:$L$52,Working!$F$21,0)="Y",TEXT($C$6,"YYYYMM")&amp;"_"&amp;$E318&amp;"_"&amp;Working!$B$11&amp;Working!$B$12,"")</f>
        <v>201703_TOR03_Top15.xlsx</v>
      </c>
      <c r="N318" s="6" t="str">
        <f>IF(VLOOKUP($C$4,Working!$A$23:$L$52,Working!$I$21,0)="Y",TEXT($C$6,"YYYYMM")&amp;"_"&amp;$E318&amp;"_"&amp;Working!$B$13&amp;Working!$B$14,"")</f>
        <v/>
      </c>
      <c r="O318" s="4"/>
      <c r="P318" s="4"/>
      <c r="Q318" s="41"/>
      <c r="R318" s="41"/>
      <c r="S318" s="41"/>
      <c r="T318" s="41"/>
      <c r="U318" s="41"/>
      <c r="V318" s="4"/>
      <c r="W318" s="4" t="s">
        <v>228</v>
      </c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</row>
    <row r="319" spans="1:45" s="10" customFormat="1" x14ac:dyDescent="0.3">
      <c r="A319">
        <v>4262</v>
      </c>
      <c r="B319" s="37" t="str">
        <f>VLOOKUP(A319,'Monthly EE List'!A:D,4,0)&amp;" "&amp;VLOOKUP(A319,'Monthly EE List'!A:D,3,0)</f>
        <v>CHERRY CHEN-EGAN</v>
      </c>
      <c r="C319" s="38" t="s">
        <v>3782</v>
      </c>
      <c r="D319" s="4" t="s">
        <v>599</v>
      </c>
      <c r="E319" t="s">
        <v>2850</v>
      </c>
      <c r="F319" t="s">
        <v>215</v>
      </c>
      <c r="G319" s="4" t="s">
        <v>2715</v>
      </c>
      <c r="H319" s="4" t="str">
        <f>VLOOKUP(A319,'Monthly EE List'!A:G,7,0)</f>
        <v>A</v>
      </c>
      <c r="I319" t="s">
        <v>211</v>
      </c>
      <c r="J319" s="5">
        <v>41733</v>
      </c>
      <c r="K319" t="s">
        <v>3125</v>
      </c>
      <c r="L319" s="4" t="str">
        <f t="shared" ca="1" si="8"/>
        <v>X</v>
      </c>
      <c r="M319" s="6" t="str">
        <f>IF(VLOOKUP($C$4,Working!$A$23:$L$52,Working!$F$21,0)="Y",TEXT($C$6,"YYYYMM")&amp;"_"&amp;$E319&amp;"_"&amp;Working!$B$11&amp;Working!$B$12,"")</f>
        <v>201703_TOR04_Top15.xlsx</v>
      </c>
      <c r="N319" s="6" t="str">
        <f>IF(VLOOKUP($C$4,Working!$A$23:$L$52,Working!$I$21,0)="Y",TEXT($C$6,"YYYYMM")&amp;"_"&amp;$E319&amp;"_"&amp;Working!$B$13&amp;Working!$B$14,"")</f>
        <v/>
      </c>
      <c r="O319" s="4"/>
      <c r="P319" s="4"/>
      <c r="Q319" s="41"/>
      <c r="R319" s="41"/>
      <c r="S319" s="41"/>
      <c r="T319" s="41"/>
      <c r="U319" s="41"/>
      <c r="V319" s="4"/>
      <c r="W319" s="4" t="s">
        <v>228</v>
      </c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</row>
    <row r="320" spans="1:45" s="10" customFormat="1" x14ac:dyDescent="0.3">
      <c r="A320" s="50">
        <v>4262</v>
      </c>
      <c r="B320" s="37" t="str">
        <f>VLOOKUP(A320,'Monthly EE List'!A:D,4,0)&amp;" "&amp;VLOOKUP(A320,'Monthly EE List'!A:D,3,0)</f>
        <v>CHERRY CHEN-EGAN</v>
      </c>
      <c r="C320" s="38" t="s">
        <v>3782</v>
      </c>
      <c r="D320" s="4" t="s">
        <v>599</v>
      </c>
      <c r="E320" t="s">
        <v>3743</v>
      </c>
      <c r="F320" t="s">
        <v>215</v>
      </c>
      <c r="G320" s="4" t="s">
        <v>2715</v>
      </c>
      <c r="H320" s="4" t="str">
        <f>VLOOKUP(A320,'Monthly EE List'!A:G,7,0)</f>
        <v>A</v>
      </c>
      <c r="I320" t="s">
        <v>211</v>
      </c>
      <c r="J320" s="5">
        <v>41733</v>
      </c>
      <c r="K320" t="s">
        <v>3125</v>
      </c>
      <c r="L320" s="4" t="str">
        <f t="shared" ca="1" si="8"/>
        <v>X</v>
      </c>
      <c r="M320" s="6" t="str">
        <f>IF(VLOOKUP($C$4,Working!$A$23:$L$52,Working!$F$21,0)="Y",TEXT($C$6,"YYYYMM")&amp;"_"&amp;$E320&amp;"_"&amp;Working!$B$11&amp;Working!$B$12,"")</f>
        <v>201703_TOR05_Top15.xlsx</v>
      </c>
      <c r="N320" s="6" t="str">
        <f>IF(VLOOKUP($C$4,Working!$A$23:$L$52,Working!$I$21,0)="Y",TEXT($C$6,"YYYYMM")&amp;"_"&amp;$E320&amp;"_"&amp;Working!$B$13&amp;Working!$B$14,"")</f>
        <v/>
      </c>
      <c r="O320" s="4"/>
      <c r="P320" s="4"/>
      <c r="Q320" s="41"/>
      <c r="R320" s="41"/>
      <c r="S320" s="41"/>
      <c r="T320" s="41"/>
      <c r="U320" s="41"/>
      <c r="V320" s="4"/>
      <c r="W320" s="4" t="s">
        <v>228</v>
      </c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</row>
    <row r="321" spans="1:45" s="10" customFormat="1" x14ac:dyDescent="0.3">
      <c r="A321">
        <v>4267</v>
      </c>
      <c r="B321" s="37" t="str">
        <f>VLOOKUP(A321,'Monthly EE List'!A:D,4,0)&amp;" "&amp;VLOOKUP(A321,'Monthly EE List'!A:D,3,0)</f>
        <v>FAMIDA ABRAHIM</v>
      </c>
      <c r="C321" s="38" t="s">
        <v>3668</v>
      </c>
      <c r="D321" s="4" t="s">
        <v>599</v>
      </c>
      <c r="E321" t="s">
        <v>3675</v>
      </c>
      <c r="F321" t="s">
        <v>215</v>
      </c>
      <c r="G321" s="4" t="s">
        <v>142</v>
      </c>
      <c r="H321" s="4" t="str">
        <f>VLOOKUP(A321,'Monthly EE List'!A:G,7,0)</f>
        <v>A</v>
      </c>
      <c r="I321" t="s">
        <v>211</v>
      </c>
      <c r="J321" s="5">
        <v>42471</v>
      </c>
      <c r="K321" t="s">
        <v>3669</v>
      </c>
      <c r="L321" s="4" t="str">
        <f t="shared" ca="1" si="8"/>
        <v/>
      </c>
      <c r="M321" s="6" t="str">
        <f>IF(VLOOKUP($C$4,Working!$A$23:$L$52,Working!$F$21,0)="Y",TEXT($C$6,"YYYYMM")&amp;"_"&amp;$E321&amp;"_"&amp;Working!$B$11&amp;Working!$B$12,"")</f>
        <v>201703_CZ1FA_Top15.xlsx</v>
      </c>
      <c r="N321" s="6" t="str">
        <f>IF(VLOOKUP($C$4,Working!$A$23:$L$52,Working!$I$21,0)="Y",TEXT($C$6,"YYYYMM")&amp;"_"&amp;$E321&amp;"_"&amp;Working!$B$13&amp;Working!$B$14,"")</f>
        <v/>
      </c>
      <c r="O321" s="4" t="s">
        <v>228</v>
      </c>
      <c r="P321" s="4" t="s">
        <v>228</v>
      </c>
      <c r="Q321" s="41"/>
      <c r="R321" s="41"/>
      <c r="S321" s="41"/>
      <c r="T321" s="41"/>
      <c r="U321" s="4" t="s">
        <v>228</v>
      </c>
      <c r="V321" s="59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</row>
    <row r="322" spans="1:45" s="10" customFormat="1" x14ac:dyDescent="0.3">
      <c r="A322">
        <v>4268</v>
      </c>
      <c r="B322" s="37" t="str">
        <f>VLOOKUP(A322,'Monthly EE List'!A:D,4,0)&amp;" "&amp;VLOOKUP(A322,'Monthly EE List'!A:D,3,0)</f>
        <v>ERIC MICALLEF</v>
      </c>
      <c r="C322" s="38" t="s">
        <v>3673</v>
      </c>
      <c r="D322" s="4" t="s">
        <v>599</v>
      </c>
      <c r="E322">
        <v>41690</v>
      </c>
      <c r="F322" t="s">
        <v>215</v>
      </c>
      <c r="G322" s="4" t="s">
        <v>244</v>
      </c>
      <c r="H322" s="4" t="str">
        <f>VLOOKUP(A322,'Monthly EE List'!A:G,7,0)</f>
        <v>A</v>
      </c>
      <c r="I322" t="s">
        <v>211</v>
      </c>
      <c r="J322" s="5">
        <v>42480</v>
      </c>
      <c r="K322" t="s">
        <v>551</v>
      </c>
      <c r="L322" s="4" t="str">
        <f t="shared" ca="1" si="8"/>
        <v/>
      </c>
      <c r="M322" s="6" t="str">
        <f>IF(VLOOKUP($C$4,Working!$A$23:$L$52,Working!$F$21,0)="Y",TEXT($C$6,"YYYYMM")&amp;"_"&amp;$E322&amp;"_"&amp;Working!$B$11&amp;Working!$B$12,"")</f>
        <v>201703_41690_Top15.xlsx</v>
      </c>
      <c r="N322" s="6" t="str">
        <f>IF(VLOOKUP($C$4,Working!$A$23:$L$52,Working!$I$21,0)="Y",TEXT($C$6,"YYYYMM")&amp;"_"&amp;$E322&amp;"_"&amp;Working!$B$13&amp;Working!$B$14,"")</f>
        <v/>
      </c>
      <c r="O322" s="4"/>
      <c r="P322" s="59"/>
      <c r="Q322" s="54"/>
      <c r="R322" s="41"/>
      <c r="S322" s="41"/>
      <c r="T322" s="41"/>
      <c r="U322" s="41"/>
      <c r="V322" s="59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</row>
    <row r="323" spans="1:45" s="10" customFormat="1" x14ac:dyDescent="0.3">
      <c r="A323" s="50">
        <v>4273</v>
      </c>
      <c r="B323" s="37" t="str">
        <f>VLOOKUP(A323,'Monthly EE List'!A:D,4,0)&amp;" "&amp;VLOOKUP(A323,'Monthly EE List'!A:D,3,0)</f>
        <v>FILOMENA COTOIA</v>
      </c>
      <c r="C323" s="38" t="s">
        <v>3723</v>
      </c>
      <c r="D323" s="4" t="s">
        <v>599</v>
      </c>
      <c r="E323" t="s">
        <v>217</v>
      </c>
      <c r="F323" t="s">
        <v>217</v>
      </c>
      <c r="G323" s="4" t="s">
        <v>3024</v>
      </c>
      <c r="H323" s="4" t="str">
        <f>VLOOKUP(A323,'Monthly EE List'!A:G,7,0)</f>
        <v>A</v>
      </c>
      <c r="I323" t="s">
        <v>211</v>
      </c>
      <c r="J323" s="5">
        <v>42544</v>
      </c>
      <c r="K323" t="s">
        <v>2716</v>
      </c>
      <c r="L323" s="4" t="str">
        <f t="shared" ca="1" si="8"/>
        <v>X</v>
      </c>
      <c r="M323" s="6" t="str">
        <f>IF(VLOOKUP($C$4,Working!$A$23:$L$52,Working!$F$21,0)="Y",TEXT($C$6,"YYYYMM")&amp;"_"&amp;$E323&amp;"_"&amp;Working!$B$11&amp;Working!$B$12,"")</f>
        <v>201703_MNTRL_Top15.xlsx</v>
      </c>
      <c r="N323" s="6" t="str">
        <f>IF(VLOOKUP($C$4,Working!$A$23:$L$52,Working!$I$21,0)="Y",TEXT($C$6,"YYYYMM")&amp;"_"&amp;$E323&amp;"_"&amp;Working!$B$13&amp;Working!$B$14,"")</f>
        <v/>
      </c>
      <c r="O323" s="62"/>
      <c r="P323" s="59"/>
      <c r="Q323" s="41"/>
      <c r="R323" s="41"/>
      <c r="S323" s="41"/>
      <c r="T323" s="41"/>
      <c r="U323" s="41"/>
      <c r="V323" s="59"/>
      <c r="W323" s="4" t="s">
        <v>228</v>
      </c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</row>
    <row r="324" spans="1:45" s="10" customFormat="1" x14ac:dyDescent="0.3">
      <c r="A324">
        <v>4283</v>
      </c>
      <c r="B324" s="37" t="str">
        <f>VLOOKUP(A324,'Monthly EE List'!A:D,4,0)&amp;" "&amp;VLOOKUP(A324,'Monthly EE List'!A:D,3,0)</f>
        <v>SIMON ARCHER</v>
      </c>
      <c r="C324" s="38" t="s">
        <v>3720</v>
      </c>
      <c r="D324" s="4" t="s">
        <v>599</v>
      </c>
      <c r="E324" t="s">
        <v>3724</v>
      </c>
      <c r="F324" t="s">
        <v>215</v>
      </c>
      <c r="G324" s="4" t="s">
        <v>142</v>
      </c>
      <c r="H324" s="4" t="str">
        <f>VLOOKUP(A324,'Monthly EE List'!A:G,7,0)</f>
        <v>A</v>
      </c>
      <c r="I324" t="s">
        <v>211</v>
      </c>
      <c r="J324" s="5">
        <v>42543</v>
      </c>
      <c r="K324" t="s">
        <v>3721</v>
      </c>
      <c r="L324" s="4" t="str">
        <f t="shared" ca="1" si="8"/>
        <v/>
      </c>
      <c r="M324" s="6" t="str">
        <f>IF(VLOOKUP($C$4,Working!$A$23:$L$52,Working!$F$21,0)="Y",TEXT($C$6,"YYYYMM")&amp;"_"&amp;$E324&amp;"_"&amp;Working!$B$11&amp;Working!$B$12,"")</f>
        <v>201703_CZ2SA_Top15.xlsx</v>
      </c>
      <c r="N324" s="6" t="str">
        <f>IF(VLOOKUP($C$4,Working!$A$23:$L$52,Working!$I$21,0)="Y",TEXT($C$6,"YYYYMM")&amp;"_"&amp;$E324&amp;"_"&amp;Working!$B$13&amp;Working!$B$14,"")</f>
        <v/>
      </c>
      <c r="O324" s="4" t="s">
        <v>228</v>
      </c>
      <c r="P324" s="4" t="s">
        <v>228</v>
      </c>
      <c r="Q324" s="41"/>
      <c r="R324" s="41"/>
      <c r="S324" s="41"/>
      <c r="T324" s="41"/>
      <c r="U324" s="4" t="s">
        <v>228</v>
      </c>
      <c r="V324" s="59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</row>
    <row r="325" spans="1:45" s="10" customFormat="1" x14ac:dyDescent="0.3">
      <c r="A325" s="50">
        <v>4286</v>
      </c>
      <c r="B325" s="37" t="str">
        <f>VLOOKUP(A325,'Monthly EE List'!A:D,4,0)&amp;" "&amp;VLOOKUP(A325,'Monthly EE List'!A:D,3,0)</f>
        <v>MURRAY JOHNSON</v>
      </c>
      <c r="C325" s="38" t="s">
        <v>3726</v>
      </c>
      <c r="D325" s="4" t="s">
        <v>599</v>
      </c>
      <c r="E325" t="s">
        <v>225</v>
      </c>
      <c r="F325" t="s">
        <v>225</v>
      </c>
      <c r="G325" s="4" t="s">
        <v>3024</v>
      </c>
      <c r="H325" s="4" t="str">
        <f>VLOOKUP(A325,'Monthly EE List'!A:G,7,0)</f>
        <v>A</v>
      </c>
      <c r="I325" t="s">
        <v>211</v>
      </c>
      <c r="J325" s="5">
        <v>42564</v>
      </c>
      <c r="K325" t="s">
        <v>2716</v>
      </c>
      <c r="L325" s="4" t="str">
        <f t="shared" ca="1" si="8"/>
        <v>X</v>
      </c>
      <c r="M325" s="6" t="str">
        <f>IF(VLOOKUP($C$4,Working!$A$23:$L$52,Working!$F$21,0)="Y",TEXT($C$6,"YYYYMM")&amp;"_"&amp;$E325&amp;"_"&amp;Working!$B$11&amp;Working!$B$12,"")</f>
        <v>201703_EDMON_Top15.xlsx</v>
      </c>
      <c r="N325" s="6" t="str">
        <f>IF(VLOOKUP($C$4,Working!$A$23:$L$52,Working!$I$21,0)="Y",TEXT($C$6,"YYYYMM")&amp;"_"&amp;$E325&amp;"_"&amp;Working!$B$13&amp;Working!$B$14,"")</f>
        <v/>
      </c>
      <c r="O325" s="62"/>
      <c r="P325" s="59"/>
      <c r="Q325" s="41"/>
      <c r="R325" s="41"/>
      <c r="S325" s="41"/>
      <c r="T325" s="41"/>
      <c r="U325" s="41"/>
      <c r="V325" s="59"/>
      <c r="W325" s="4" t="s">
        <v>228</v>
      </c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</row>
    <row r="326" spans="1:45" s="10" customFormat="1" x14ac:dyDescent="0.3">
      <c r="A326">
        <v>4291</v>
      </c>
      <c r="B326" s="37" t="str">
        <f>VLOOKUP(A326,'Monthly EE List'!A:D,4,0)&amp;" "&amp;VLOOKUP(A326,'Monthly EE List'!A:D,3,0)</f>
        <v>JULIE NOEL</v>
      </c>
      <c r="C326" s="38" t="s">
        <v>3742</v>
      </c>
      <c r="D326" s="4" t="s">
        <v>599</v>
      </c>
      <c r="E326" t="s">
        <v>3749</v>
      </c>
      <c r="F326" t="s">
        <v>217</v>
      </c>
      <c r="G326" s="4" t="s">
        <v>142</v>
      </c>
      <c r="H326" s="4" t="str">
        <f>VLOOKUP(A326,'Monthly EE List'!A:G,7,0)</f>
        <v>A</v>
      </c>
      <c r="I326" t="s">
        <v>211</v>
      </c>
      <c r="J326" s="5">
        <v>42573</v>
      </c>
      <c r="K326" t="s">
        <v>147</v>
      </c>
      <c r="L326" s="4" t="str">
        <f t="shared" ca="1" si="8"/>
        <v/>
      </c>
      <c r="M326" s="6" t="str">
        <f>IF(VLOOKUP($C$4,Working!$A$23:$L$52,Working!$F$21,0)="Y",TEXT($C$6,"YYYYMM")&amp;"_"&amp;$E326&amp;"_"&amp;Working!$B$11&amp;Working!$B$12,"")</f>
        <v>201703_QZ1JN_Top15.xlsx</v>
      </c>
      <c r="N326" s="6" t="str">
        <f>IF(VLOOKUP($C$4,Working!$A$23:$L$52,Working!$I$21,0)="Y",TEXT($C$6,"YYYYMM")&amp;"_"&amp;$E326&amp;"_"&amp;Working!$B$13&amp;Working!$B$14,"")</f>
        <v/>
      </c>
      <c r="O326" s="4" t="s">
        <v>228</v>
      </c>
      <c r="P326" s="4" t="s">
        <v>228</v>
      </c>
      <c r="Q326" s="41"/>
      <c r="R326" s="41"/>
      <c r="S326" s="41"/>
      <c r="T326" s="41"/>
      <c r="U326" s="4" t="s">
        <v>228</v>
      </c>
      <c r="V326" s="59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</row>
    <row r="327" spans="1:45" s="10" customFormat="1" x14ac:dyDescent="0.3">
      <c r="A327">
        <v>4292</v>
      </c>
      <c r="B327" s="37" t="str">
        <f>VLOOKUP(A327,'Monthly EE List'!A:D,4,0)&amp;" "&amp;VLOOKUP(A327,'Monthly EE List'!A:D,3,0)</f>
        <v>SUZANNE LEBEAU</v>
      </c>
      <c r="C327" s="38" t="s">
        <v>3773</v>
      </c>
      <c r="D327" s="4" t="s">
        <v>599</v>
      </c>
      <c r="E327" t="s">
        <v>3774</v>
      </c>
      <c r="F327" t="s">
        <v>217</v>
      </c>
      <c r="G327" s="4" t="s">
        <v>142</v>
      </c>
      <c r="H327" s="4" t="str">
        <f>VLOOKUP(A327,'Monthly EE List'!A:G,7,0)</f>
        <v>A</v>
      </c>
      <c r="I327" t="s">
        <v>211</v>
      </c>
      <c r="J327" s="5">
        <v>42605</v>
      </c>
      <c r="K327" t="s">
        <v>147</v>
      </c>
      <c r="L327" s="4" t="str">
        <f t="shared" ca="1" si="8"/>
        <v/>
      </c>
      <c r="M327" s="6" t="str">
        <f>IF(VLOOKUP($C$4,Working!$A$23:$L$52,Working!$F$21,0)="Y",TEXT($C$6,"YYYYMM")&amp;"_"&amp;$E327&amp;"_"&amp;Working!$B$11&amp;Working!$B$12,"")</f>
        <v>201703_QZ1SL_Top15.xlsx</v>
      </c>
      <c r="N327" s="6" t="str">
        <f>IF(VLOOKUP($C$4,Working!$A$23:$L$52,Working!$I$21,0)="Y",TEXT($C$6,"YYYYMM")&amp;"_"&amp;$E327&amp;"_"&amp;Working!$B$13&amp;Working!$B$14,"")</f>
        <v/>
      </c>
      <c r="O327" s="4" t="s">
        <v>228</v>
      </c>
      <c r="P327" s="4" t="s">
        <v>228</v>
      </c>
      <c r="Q327" s="41"/>
      <c r="R327" s="41"/>
      <c r="S327" s="41"/>
      <c r="T327" s="41"/>
      <c r="U327" s="4" t="s">
        <v>228</v>
      </c>
      <c r="V327" s="59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</row>
    <row r="328" spans="1:45" s="10" customFormat="1" x14ac:dyDescent="0.3">
      <c r="A328">
        <v>4293</v>
      </c>
      <c r="B328" s="37" t="str">
        <f>VLOOKUP(A328,'Monthly EE List'!A:D,4,0)&amp;" "&amp;VLOOKUP(A328,'Monthly EE List'!A:D,3,0)</f>
        <v>JUSTIN BRANCO</v>
      </c>
      <c r="C328" s="38" t="s">
        <v>3744</v>
      </c>
      <c r="D328" s="4" t="s">
        <v>599</v>
      </c>
      <c r="E328">
        <v>51914</v>
      </c>
      <c r="F328" t="s">
        <v>218</v>
      </c>
      <c r="G328" s="4" t="s">
        <v>244</v>
      </c>
      <c r="H328" s="4" t="str">
        <f>VLOOKUP(A328,'Monthly EE List'!A:G,7,0)</f>
        <v>A</v>
      </c>
      <c r="I328" t="s">
        <v>211</v>
      </c>
      <c r="J328" s="5">
        <v>42585</v>
      </c>
      <c r="K328" t="s">
        <v>551</v>
      </c>
      <c r="L328" s="4" t="str">
        <f t="shared" ca="1" si="8"/>
        <v/>
      </c>
      <c r="M328" s="6" t="str">
        <f>IF(VLOOKUP($C$4,Working!$A$23:$L$52,Working!$F$21,0)="Y",TEXT($C$6,"YYYYMM")&amp;"_"&amp;$E328&amp;"_"&amp;Working!$B$11&amp;Working!$B$12,"")</f>
        <v>201703_51914_Top15.xlsx</v>
      </c>
      <c r="N328" s="6" t="str">
        <f>IF(VLOOKUP($C$4,Working!$A$23:$L$52,Working!$I$21,0)="Y",TEXT($C$6,"YYYYMM")&amp;"_"&amp;$E328&amp;"_"&amp;Working!$B$13&amp;Working!$B$14,"")</f>
        <v/>
      </c>
      <c r="O328" s="4"/>
      <c r="P328" s="59"/>
      <c r="Q328" s="4" t="s">
        <v>228</v>
      </c>
      <c r="R328" s="41"/>
      <c r="S328" s="41"/>
      <c r="T328" s="41"/>
      <c r="U328" s="41"/>
      <c r="V328" s="59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</row>
    <row r="329" spans="1:45" s="10" customFormat="1" x14ac:dyDescent="0.3">
      <c r="A329" s="50">
        <v>4296</v>
      </c>
      <c r="B329" s="37" t="str">
        <f>VLOOKUP(A329,'Monthly EE List'!A:D,4,0)&amp;" "&amp;VLOOKUP(A329,'Monthly EE List'!A:D,3,0)</f>
        <v>LARRY ABBOTT</v>
      </c>
      <c r="C329" s="38" t="s">
        <v>3777</v>
      </c>
      <c r="D329" s="4" t="s">
        <v>599</v>
      </c>
      <c r="E329" t="s">
        <v>3747</v>
      </c>
      <c r="F329" t="s">
        <v>3747</v>
      </c>
      <c r="G329" s="4" t="s">
        <v>2715</v>
      </c>
      <c r="H329" s="4" t="s">
        <v>213</v>
      </c>
      <c r="I329" t="s">
        <v>211</v>
      </c>
      <c r="J329" s="5">
        <v>42621</v>
      </c>
      <c r="K329" t="s">
        <v>2716</v>
      </c>
      <c r="L329" s="4" t="str">
        <f t="shared" ca="1" si="8"/>
        <v>X</v>
      </c>
      <c r="M329" s="6" t="str">
        <f>IF(VLOOKUP($C$4,Working!$A$23:$L$52,Working!$F$21,0)="Y",TEXT($C$6,"YYYYMM")&amp;"_"&amp;$E329&amp;"_"&amp;Working!$B$11&amp;Working!$B$12,"")</f>
        <v>201703_NWFLD_Top15.xlsx</v>
      </c>
      <c r="N329" s="6"/>
      <c r="O329" s="54"/>
      <c r="P329" s="54"/>
      <c r="Q329" s="41"/>
      <c r="R329" s="41"/>
      <c r="S329" s="41"/>
      <c r="T329" s="41"/>
      <c r="U329" s="4"/>
      <c r="V329" s="4"/>
      <c r="W329" s="4" t="s">
        <v>228</v>
      </c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</row>
    <row r="330" spans="1:45" s="10" customFormat="1" x14ac:dyDescent="0.3">
      <c r="A330">
        <v>4297</v>
      </c>
      <c r="B330" s="37" t="str">
        <f>VLOOKUP(A330,'Monthly EE List'!A:D,4,0)&amp;" "&amp;VLOOKUP(A330,'Monthly EE List'!A:D,3,0)</f>
        <v>CHRIS MURRAY</v>
      </c>
      <c r="C330" s="38" t="s">
        <v>3750</v>
      </c>
      <c r="D330" s="4" t="s">
        <v>599</v>
      </c>
      <c r="E330" t="s">
        <v>3751</v>
      </c>
      <c r="F330" t="s">
        <v>3747</v>
      </c>
      <c r="G330" s="4" t="s">
        <v>142</v>
      </c>
      <c r="H330" s="4" t="str">
        <f>VLOOKUP(A330,'Monthly EE List'!A:G,7,0)</f>
        <v>A</v>
      </c>
      <c r="I330" t="s">
        <v>211</v>
      </c>
      <c r="J330" s="5">
        <v>42605</v>
      </c>
      <c r="K330" t="s">
        <v>147</v>
      </c>
      <c r="L330" s="4" t="str">
        <f t="shared" ref="L330:L361" ca="1" si="9">IF(OFFSET(N330,,$C$4)="X","X","")</f>
        <v/>
      </c>
      <c r="M330" s="6" t="str">
        <f>IF(VLOOKUP($C$4,Working!$A$23:$L$52,Working!$F$21,0)="Y",TEXT($C$6,"YYYYMM")&amp;"_"&amp;$E330&amp;"_"&amp;Working!$B$11&amp;Working!$B$12,"")</f>
        <v>201703_AZ1CM_Top15.xlsx</v>
      </c>
      <c r="N330" s="6" t="str">
        <f>IF(VLOOKUP($C$4,Working!$A$23:$L$52,Working!$I$21,0)="Y",TEXT($C$6,"YYYYMM")&amp;"_"&amp;$E330&amp;"_"&amp;Working!$B$13&amp;Working!$B$14,"")</f>
        <v/>
      </c>
      <c r="O330" s="4" t="s">
        <v>228</v>
      </c>
      <c r="P330" s="4" t="s">
        <v>228</v>
      </c>
      <c r="Q330" s="41"/>
      <c r="R330" s="41"/>
      <c r="S330" s="41"/>
      <c r="T330" s="41"/>
      <c r="U330" s="41" t="s">
        <v>228</v>
      </c>
      <c r="V330" s="59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</row>
    <row r="331" spans="1:45" s="10" customFormat="1" x14ac:dyDescent="0.3">
      <c r="A331">
        <v>4309</v>
      </c>
      <c r="B331" s="37" t="str">
        <f>VLOOKUP(A331,'Monthly EE List'!A:D,4,0)&amp;" "&amp;VLOOKUP(A331,'Monthly EE List'!A:D,3,0)</f>
        <v>DAVID SUAZA</v>
      </c>
      <c r="C331" s="38" t="s">
        <v>3779</v>
      </c>
      <c r="D331" s="4" t="s">
        <v>599</v>
      </c>
      <c r="E331">
        <v>41692</v>
      </c>
      <c r="F331" t="s">
        <v>215</v>
      </c>
      <c r="G331" s="4" t="s">
        <v>244</v>
      </c>
      <c r="H331" s="4" t="str">
        <f>VLOOKUP(A331,'Monthly EE List'!A:G,7,0)</f>
        <v>A</v>
      </c>
      <c r="I331" t="s">
        <v>211</v>
      </c>
      <c r="J331" s="5">
        <v>42627</v>
      </c>
      <c r="K331"/>
      <c r="L331" s="4" t="str">
        <f t="shared" ca="1" si="9"/>
        <v/>
      </c>
      <c r="M331" s="6" t="str">
        <f>IF(VLOOKUP($C$4,Working!$A$23:$L$52,Working!$F$21,0)="Y",TEXT($C$6,"YYYYMM")&amp;"_"&amp;$E331&amp;"_"&amp;Working!$B$11&amp;Working!$B$12,"")</f>
        <v>201703_41692_Top15.xlsx</v>
      </c>
      <c r="N331" s="6" t="str">
        <f>IF(VLOOKUP($C$4,Working!$A$23:$L$52,Working!$I$21,0)="Y",TEXT($C$6,"YYYYMM")&amp;"_"&amp;$E331&amp;"_"&amp;Working!$B$13&amp;Working!$B$14,"")</f>
        <v/>
      </c>
      <c r="O331" s="4"/>
      <c r="P331" s="4"/>
      <c r="Q331" s="54"/>
      <c r="R331" s="41"/>
      <c r="S331" s="41"/>
      <c r="T331" s="41"/>
      <c r="U331" s="41"/>
      <c r="V331" s="4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</row>
    <row r="332" spans="1:45" s="10" customFormat="1" x14ac:dyDescent="0.3">
      <c r="A332">
        <v>6004</v>
      </c>
      <c r="B332" s="46" t="str">
        <f>VLOOKUP(A332,'Monthly EE List'!A:D,4,0)&amp;" "&amp;VLOOKUP(A332,'Monthly EE List'!A:D,3,0)</f>
        <v>ROBERT CLUETT</v>
      </c>
      <c r="C332" s="38" t="s">
        <v>2886</v>
      </c>
      <c r="D332" s="4" t="s">
        <v>599</v>
      </c>
      <c r="E332" s="10">
        <v>90216</v>
      </c>
      <c r="F332" t="s">
        <v>3747</v>
      </c>
      <c r="G332" s="4" t="s">
        <v>244</v>
      </c>
      <c r="H332" s="4" t="str">
        <f>VLOOKUP(A332,'Monthly EE List'!A:G,7,0)</f>
        <v>A</v>
      </c>
      <c r="I332" t="s">
        <v>212</v>
      </c>
      <c r="J332" s="5">
        <v>42605</v>
      </c>
      <c r="K332" t="s">
        <v>3748</v>
      </c>
      <c r="L332" s="4" t="str">
        <f t="shared" ca="1" si="9"/>
        <v/>
      </c>
      <c r="M332" s="6" t="str">
        <f>IF(VLOOKUP($C$4,Working!$A$23:$L$52,Working!$F$21,0)="Y",TEXT($C$6,"YYYYMM")&amp;"_"&amp;$E332&amp;"_"&amp;Working!$B$11&amp;Working!$B$12,"")</f>
        <v>201703_90216_Top15.xlsx</v>
      </c>
      <c r="N332" s="6" t="str">
        <f>IF(VLOOKUP($C$4,Working!$A$23:$L$52,Working!$I$21,0)="Y",TEXT($C$6,"YYYYMM")&amp;"_"&amp;$E332&amp;"_"&amp;Working!$B$13&amp;Working!$B$14,"")</f>
        <v/>
      </c>
      <c r="O332" s="4"/>
      <c r="P332" s="4"/>
      <c r="Q332" s="41" t="s">
        <v>228</v>
      </c>
      <c r="R332" s="41"/>
      <c r="S332" s="41"/>
      <c r="T332" s="41"/>
      <c r="U332" s="41"/>
      <c r="V332" s="4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</row>
    <row r="333" spans="1:45" s="10" customFormat="1" x14ac:dyDescent="0.3">
      <c r="A333">
        <v>6006</v>
      </c>
      <c r="B333" s="37" t="str">
        <f>VLOOKUP(A333,'Monthly EE List'!A:D,4,0)&amp;" "&amp;VLOOKUP(A333,'Monthly EE List'!A:D,3,0)</f>
        <v>DAVID DOUCETTE</v>
      </c>
      <c r="C333" s="38" t="s">
        <v>266</v>
      </c>
      <c r="D333" s="4" t="s">
        <v>599</v>
      </c>
      <c r="E333">
        <v>90207</v>
      </c>
      <c r="F333" t="s">
        <v>220</v>
      </c>
      <c r="G333" s="4" t="s">
        <v>244</v>
      </c>
      <c r="H333" s="4" t="str">
        <f>VLOOKUP(A333,'Monthly EE List'!A:G,7,0)</f>
        <v>A</v>
      </c>
      <c r="I333"/>
      <c r="J333" s="5"/>
      <c r="K333"/>
      <c r="L333" s="4" t="str">
        <f t="shared" ca="1" si="9"/>
        <v/>
      </c>
      <c r="M333" s="6" t="str">
        <f>IF(VLOOKUP($C$4,Working!$A$23:$L$52,Working!$F$21,0)="Y",TEXT($C$6,"YYYYMM")&amp;"_"&amp;$E333&amp;"_"&amp;Working!$B$11&amp;Working!$B$12,"")</f>
        <v>201703_90207_Top15.xlsx</v>
      </c>
      <c r="N333" s="6" t="str">
        <f>IF(VLOOKUP($C$4,Working!$A$23:$L$52,Working!$I$21,0)="Y",TEXT($C$6,"YYYYMM")&amp;"_"&amp;$E333&amp;"_"&amp;Working!$B$13&amp;Working!$B$14,"")</f>
        <v/>
      </c>
      <c r="O333" s="4"/>
      <c r="P333" s="4"/>
      <c r="Q333" s="41" t="s">
        <v>228</v>
      </c>
      <c r="R333" s="41"/>
      <c r="S333" s="41"/>
      <c r="T333" s="41"/>
      <c r="U333" s="41"/>
      <c r="V333" s="4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</row>
    <row r="334" spans="1:45" s="10" customFormat="1" x14ac:dyDescent="0.3">
      <c r="A334">
        <v>6007</v>
      </c>
      <c r="B334" s="37" t="str">
        <f>VLOOKUP(A334,'Monthly EE List'!A:D,4,0)&amp;" "&amp;VLOOKUP(A334,'Monthly EE List'!A:D,3,0)</f>
        <v>WESLEY ESTEY</v>
      </c>
      <c r="C334" s="38" t="s">
        <v>338</v>
      </c>
      <c r="D334" s="4" t="s">
        <v>599</v>
      </c>
      <c r="E334">
        <v>90211</v>
      </c>
      <c r="F334" t="s">
        <v>220</v>
      </c>
      <c r="G334" s="4" t="s">
        <v>244</v>
      </c>
      <c r="H334" s="4" t="str">
        <f>VLOOKUP(A334,'Monthly EE List'!A:G,7,0)</f>
        <v>A</v>
      </c>
      <c r="I334"/>
      <c r="J334" s="5">
        <v>41744</v>
      </c>
      <c r="K334" t="s">
        <v>2665</v>
      </c>
      <c r="L334" s="4" t="str">
        <f t="shared" ca="1" si="9"/>
        <v/>
      </c>
      <c r="M334" s="6" t="str">
        <f>IF(VLOOKUP($C$4,Working!$A$23:$L$52,Working!$F$21,0)="Y",TEXT($C$6,"YYYYMM")&amp;"_"&amp;$E334&amp;"_"&amp;Working!$B$11&amp;Working!$B$12,"")</f>
        <v>201703_90211_Top15.xlsx</v>
      </c>
      <c r="N334" s="6" t="str">
        <f>IF(VLOOKUP($C$4,Working!$A$23:$L$52,Working!$I$21,0)="Y",TEXT($C$6,"YYYYMM")&amp;"_"&amp;$E334&amp;"_"&amp;Working!$B$13&amp;Working!$B$14,"")</f>
        <v/>
      </c>
      <c r="O334" s="4"/>
      <c r="P334" s="4"/>
      <c r="Q334" s="41"/>
      <c r="R334" s="41"/>
      <c r="S334" s="41"/>
      <c r="T334" s="41"/>
      <c r="U334" s="41"/>
      <c r="V334" s="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</row>
    <row r="335" spans="1:45" s="10" customFormat="1" x14ac:dyDescent="0.3">
      <c r="A335">
        <v>6009</v>
      </c>
      <c r="B335" s="37" t="str">
        <f>VLOOKUP(A335,'Monthly EE List'!A:D,4,0)&amp;" "&amp;VLOOKUP(A335,'Monthly EE List'!A:D,3,0)</f>
        <v>WARREN HAYES</v>
      </c>
      <c r="C335" s="38" t="s">
        <v>442</v>
      </c>
      <c r="D335" s="4" t="s">
        <v>599</v>
      </c>
      <c r="E335" t="s">
        <v>3780</v>
      </c>
      <c r="F335" t="s">
        <v>3747</v>
      </c>
      <c r="G335" s="4" t="s">
        <v>142</v>
      </c>
      <c r="H335" s="4" t="str">
        <f>VLOOKUP(A335,'Monthly EE List'!A:G,7,0)</f>
        <v>A</v>
      </c>
      <c r="I335" t="s">
        <v>212</v>
      </c>
      <c r="J335" s="5">
        <v>42628</v>
      </c>
      <c r="K335" t="s">
        <v>3781</v>
      </c>
      <c r="L335" s="4" t="str">
        <f t="shared" ca="1" si="9"/>
        <v/>
      </c>
      <c r="M335" s="6" t="str">
        <f>IF(VLOOKUP($C$4,Working!$A$23:$L$52,Working!$F$21,0)="Y",TEXT($C$6,"YYYYMM")&amp;"_"&amp;$E335&amp;"_"&amp;Working!$B$11&amp;Working!$B$12,"")</f>
        <v>201703_CZ1CN_Top15.xlsx</v>
      </c>
      <c r="N335" s="6" t="str">
        <f>IF(VLOOKUP($C$4,Working!$A$23:$L$52,Working!$I$21,0)="Y",TEXT($C$6,"YYYYMM")&amp;"_"&amp;$E335&amp;"_"&amp;Working!$B$13&amp;Working!$B$14,"")</f>
        <v/>
      </c>
      <c r="O335" s="54"/>
      <c r="P335" s="4" t="s">
        <v>228</v>
      </c>
      <c r="Q335" s="41"/>
      <c r="R335" s="41"/>
      <c r="S335" s="41"/>
      <c r="T335" s="41"/>
      <c r="U335" s="41"/>
      <c r="V335" s="54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</row>
    <row r="336" spans="1:45" s="10" customFormat="1" x14ac:dyDescent="0.3">
      <c r="A336">
        <v>6009</v>
      </c>
      <c r="B336" s="37" t="str">
        <f>VLOOKUP(A336,'Monthly EE List'!A:D,4,0)&amp;" "&amp;VLOOKUP(A336,'Monthly EE List'!A:D,3,0)</f>
        <v>WARREN HAYES</v>
      </c>
      <c r="C336" s="38" t="s">
        <v>442</v>
      </c>
      <c r="D336" s="4" t="s">
        <v>599</v>
      </c>
      <c r="E336" t="s">
        <v>3746</v>
      </c>
      <c r="F336" t="s">
        <v>3747</v>
      </c>
      <c r="G336" s="4" t="s">
        <v>142</v>
      </c>
      <c r="H336" s="4" t="str">
        <f>VLOOKUP(A336,'Monthly EE List'!A:G,7,0)</f>
        <v>A</v>
      </c>
      <c r="I336" t="s">
        <v>212</v>
      </c>
      <c r="J336" s="5">
        <v>42605</v>
      </c>
      <c r="K336" t="s">
        <v>3748</v>
      </c>
      <c r="L336" s="4" t="str">
        <f t="shared" ca="1" si="9"/>
        <v/>
      </c>
      <c r="M336" s="6" t="str">
        <f>IF(VLOOKUP($C$4,Working!$A$23:$L$52,Working!$F$21,0)="Y",TEXT($C$6,"YYYYMM")&amp;"_"&amp;$E336&amp;"_"&amp;Working!$B$11&amp;Working!$B$12,"")</f>
        <v>201703_AZ1WH_Top15.xlsx</v>
      </c>
      <c r="N336" s="6" t="str">
        <f>IF(VLOOKUP($C$4,Working!$A$23:$L$52,Working!$I$21,0)="Y",TEXT($C$6,"YYYYMM")&amp;"_"&amp;$E336&amp;"_"&amp;Working!$B$13&amp;Working!$B$14,"")</f>
        <v/>
      </c>
      <c r="O336" s="4" t="s">
        <v>228</v>
      </c>
      <c r="P336" s="54"/>
      <c r="Q336" s="41"/>
      <c r="R336" s="41"/>
      <c r="S336" s="41"/>
      <c r="T336" s="41"/>
      <c r="U336" s="41" t="s">
        <v>228</v>
      </c>
      <c r="V336" s="54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</row>
    <row r="337" spans="1:45" s="10" customFormat="1" x14ac:dyDescent="0.3">
      <c r="A337">
        <v>6010</v>
      </c>
      <c r="B337" s="37" t="str">
        <f>VLOOKUP(A337,'Monthly EE List'!A:D,4,0)&amp;" "&amp;VLOOKUP(A337,'Monthly EE List'!A:D,3,0)</f>
        <v>MICHAEL JOHNSTON</v>
      </c>
      <c r="C337" s="38" t="s">
        <v>301</v>
      </c>
      <c r="D337" s="4" t="s">
        <v>599</v>
      </c>
      <c r="E337">
        <v>90210</v>
      </c>
      <c r="F337" t="s">
        <v>220</v>
      </c>
      <c r="G337" s="4" t="s">
        <v>244</v>
      </c>
      <c r="H337" s="4" t="str">
        <f>VLOOKUP(A337,'Monthly EE List'!A:G,7,0)</f>
        <v>A</v>
      </c>
      <c r="I337"/>
      <c r="J337" s="5"/>
      <c r="K337"/>
      <c r="L337" s="4" t="str">
        <f t="shared" ca="1" si="9"/>
        <v/>
      </c>
      <c r="M337" s="6" t="str">
        <f>IF(VLOOKUP($C$4,Working!$A$23:$L$52,Working!$F$21,0)="Y",TEXT($C$6,"YYYYMM")&amp;"_"&amp;$E337&amp;"_"&amp;Working!$B$11&amp;Working!$B$12,"")</f>
        <v>201703_90210_Top15.xlsx</v>
      </c>
      <c r="N337" s="6" t="str">
        <f>IF(VLOOKUP($C$4,Working!$A$23:$L$52,Working!$I$21,0)="Y",TEXT($C$6,"YYYYMM")&amp;"_"&amp;$E337&amp;"_"&amp;Working!$B$13&amp;Working!$B$14,"")</f>
        <v/>
      </c>
      <c r="O337" s="4"/>
      <c r="P337" s="4"/>
      <c r="Q337" s="41" t="s">
        <v>228</v>
      </c>
      <c r="R337" s="41"/>
      <c r="S337" s="41"/>
      <c r="T337" s="41"/>
      <c r="U337" s="41"/>
      <c r="V337" s="4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</row>
    <row r="338" spans="1:45" s="10" customFormat="1" x14ac:dyDescent="0.3">
      <c r="A338">
        <v>6014</v>
      </c>
      <c r="B338" s="37" t="str">
        <f>VLOOKUP(A338,'Monthly EE List'!A:D,4,0)&amp;" "&amp;VLOOKUP(A338,'Monthly EE List'!A:D,3,0)</f>
        <v>PETER SAMPSON</v>
      </c>
      <c r="C338" s="38" t="s">
        <v>444</v>
      </c>
      <c r="D338" s="4" t="s">
        <v>599</v>
      </c>
      <c r="E338" t="s">
        <v>151</v>
      </c>
      <c r="F338" t="s">
        <v>220</v>
      </c>
      <c r="G338" s="4" t="s">
        <v>142</v>
      </c>
      <c r="H338" s="4" t="str">
        <f>VLOOKUP(A338,'Monthly EE List'!A:G,7,0)</f>
        <v>A</v>
      </c>
      <c r="I338"/>
      <c r="J338" s="5"/>
      <c r="K338"/>
      <c r="L338" s="4" t="str">
        <f t="shared" ca="1" si="9"/>
        <v/>
      </c>
      <c r="M338" s="6" t="str">
        <f>IF(VLOOKUP($C$4,Working!$A$23:$L$52,Working!$F$21,0)="Y",TEXT($C$6,"YYYYMM")&amp;"_"&amp;$E338&amp;"_"&amp;Working!$B$11&amp;Working!$B$12,"")</f>
        <v>201703_AZ1YU_Top15.xlsx</v>
      </c>
      <c r="N338" s="6" t="str">
        <f>IF(VLOOKUP($C$4,Working!$A$23:$L$52,Working!$I$21,0)="Y",TEXT($C$6,"YYYYMM")&amp;"_"&amp;$E338&amp;"_"&amp;Working!$B$13&amp;Working!$B$14,"")</f>
        <v/>
      </c>
      <c r="O338" s="4" t="s">
        <v>228</v>
      </c>
      <c r="P338" s="4" t="s">
        <v>228</v>
      </c>
      <c r="Q338" s="41"/>
      <c r="R338" s="41"/>
      <c r="S338" s="41"/>
      <c r="T338" s="41"/>
      <c r="U338" s="41" t="s">
        <v>228</v>
      </c>
      <c r="V338" s="54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</row>
    <row r="339" spans="1:45" s="10" customFormat="1" x14ac:dyDescent="0.3">
      <c r="A339" s="44">
        <v>6015</v>
      </c>
      <c r="B339" s="37" t="str">
        <f>VLOOKUP(A339,'Monthly EE List'!A:D,4,0)&amp;" "&amp;VLOOKUP(A339,'Monthly EE List'!A:D,3,0)</f>
        <v>JASON TINGLEY</v>
      </c>
      <c r="C339" s="38" t="s">
        <v>445</v>
      </c>
      <c r="D339" s="4" t="s">
        <v>599</v>
      </c>
      <c r="E339" t="s">
        <v>152</v>
      </c>
      <c r="F339" t="s">
        <v>220</v>
      </c>
      <c r="G339" s="4" t="s">
        <v>3008</v>
      </c>
      <c r="H339" s="4" t="str">
        <f>VLOOKUP(A339,'Monthly EE List'!A:G,7,0)</f>
        <v>A</v>
      </c>
      <c r="I339"/>
      <c r="J339" s="5"/>
      <c r="K339"/>
      <c r="L339" s="4" t="str">
        <f t="shared" ca="1" si="9"/>
        <v/>
      </c>
      <c r="M339" s="6" t="str">
        <f>IF(VLOOKUP($C$4,Working!$A$23:$L$52,Working!$F$21,0)="Y",TEXT($C$6,"YYYYMM")&amp;"_"&amp;$E339&amp;"_"&amp;Working!$B$11&amp;Working!$B$12,"")</f>
        <v>201703_AZ1WX_Top15.xlsx</v>
      </c>
      <c r="N339" s="6" t="str">
        <f>IF(VLOOKUP($C$4,Working!$A$23:$L$52,Working!$I$21,0)="Y",TEXT($C$6,"YYYYMM")&amp;"_"&amp;$E339&amp;"_"&amp;Working!$B$13&amp;Working!$B$14,"")</f>
        <v/>
      </c>
      <c r="O339" s="4" t="s">
        <v>228</v>
      </c>
      <c r="P339" s="4" t="s">
        <v>228</v>
      </c>
      <c r="Q339" s="41"/>
      <c r="R339" s="41"/>
      <c r="S339" s="41"/>
      <c r="T339" s="41"/>
      <c r="U339" s="41" t="s">
        <v>228</v>
      </c>
      <c r="V339" s="54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</row>
    <row r="340" spans="1:45" s="10" customFormat="1" x14ac:dyDescent="0.3">
      <c r="A340" s="44">
        <v>6015</v>
      </c>
      <c r="B340" s="37" t="str">
        <f>VLOOKUP(A340,'Monthly EE List'!A:D,4,0)&amp;" "&amp;VLOOKUP(A340,'Monthly EE List'!A:D,3,0)</f>
        <v>JASON TINGLEY</v>
      </c>
      <c r="C340" s="38" t="s">
        <v>445</v>
      </c>
      <c r="D340" s="4" t="s">
        <v>599</v>
      </c>
      <c r="E340" t="s">
        <v>220</v>
      </c>
      <c r="F340" t="s">
        <v>220</v>
      </c>
      <c r="G340" s="4" t="s">
        <v>3008</v>
      </c>
      <c r="H340" s="4" t="str">
        <f>VLOOKUP(A340,'Monthly EE List'!A:G,7,0)</f>
        <v>A</v>
      </c>
      <c r="I340" t="s">
        <v>211</v>
      </c>
      <c r="J340" s="5">
        <v>41585</v>
      </c>
      <c r="K340" t="s">
        <v>2716</v>
      </c>
      <c r="L340" s="4" t="str">
        <f t="shared" ca="1" si="9"/>
        <v>X</v>
      </c>
      <c r="M340" s="6" t="str">
        <f>IF(VLOOKUP($C$4,Working!$A$23:$L$52,Working!$F$21,0)="Y",TEXT($C$6,"YYYYMM")&amp;"_"&amp;$E340&amp;"_"&amp;Working!$B$11&amp;Working!$B$12,"")</f>
        <v>201703_HALFX_Top15.xlsx</v>
      </c>
      <c r="N340" s="6" t="str">
        <f>IF(VLOOKUP($C$4,Working!$A$23:$L$52,Working!$I$21,0)="Y",TEXT($C$6,"YYYYMM")&amp;"_"&amp;$E340&amp;"_"&amp;Working!$B$13&amp;Working!$B$14,"")</f>
        <v/>
      </c>
      <c r="O340" s="62"/>
      <c r="P340" s="59"/>
      <c r="Q340" s="41"/>
      <c r="R340" s="41"/>
      <c r="S340" s="41"/>
      <c r="T340" s="41"/>
      <c r="U340" s="41"/>
      <c r="V340" s="54"/>
      <c r="W340" s="4" t="s">
        <v>228</v>
      </c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</row>
    <row r="341" spans="1:45" s="10" customFormat="1" x14ac:dyDescent="0.3">
      <c r="A341">
        <v>6016</v>
      </c>
      <c r="B341" s="37" t="str">
        <f>VLOOKUP(A341,'Monthly EE List'!A:D,4,0)&amp;" "&amp;VLOOKUP(A341,'Monthly EE List'!A:D,3,0)</f>
        <v>PAUL BROWN</v>
      </c>
      <c r="C341" s="38" t="s">
        <v>446</v>
      </c>
      <c r="D341" s="4" t="s">
        <v>599</v>
      </c>
      <c r="E341" t="s">
        <v>153</v>
      </c>
      <c r="F341" t="s">
        <v>220</v>
      </c>
      <c r="G341" s="4" t="s">
        <v>142</v>
      </c>
      <c r="H341" s="4" t="str">
        <f>VLOOKUP(A341,'Monthly EE List'!A:G,7,0)</f>
        <v>A</v>
      </c>
      <c r="I341"/>
      <c r="J341" s="5"/>
      <c r="K341"/>
      <c r="L341" s="4" t="str">
        <f t="shared" ca="1" si="9"/>
        <v/>
      </c>
      <c r="M341" s="6" t="str">
        <f>IF(VLOOKUP($C$4,Working!$A$23:$L$52,Working!$F$21,0)="Y",TEXT($C$6,"YYYYMM")&amp;"_"&amp;$E341&amp;"_"&amp;Working!$B$11&amp;Working!$B$12,"")</f>
        <v>201703_AZ1XF_Top15.xlsx</v>
      </c>
      <c r="N341" s="6" t="str">
        <f>IF(VLOOKUP($C$4,Working!$A$23:$L$52,Working!$I$21,0)="Y",TEXT($C$6,"YYYYMM")&amp;"_"&amp;$E341&amp;"_"&amp;Working!$B$13&amp;Working!$B$14,"")</f>
        <v/>
      </c>
      <c r="O341" s="4" t="s">
        <v>228</v>
      </c>
      <c r="P341" s="4" t="s">
        <v>228</v>
      </c>
      <c r="Q341" s="41"/>
      <c r="R341" s="41"/>
      <c r="S341" s="41"/>
      <c r="T341" s="41"/>
      <c r="U341" s="41" t="s">
        <v>228</v>
      </c>
      <c r="V341" s="54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</row>
    <row r="342" spans="1:45" s="10" customFormat="1" x14ac:dyDescent="0.3">
      <c r="A342">
        <v>6017</v>
      </c>
      <c r="B342" s="37" t="str">
        <f>VLOOKUP(A342,'Monthly EE List'!A:D,4,0)&amp;" "&amp;VLOOKUP(A342,'Monthly EE List'!A:D,3,0)</f>
        <v>SHAWN SOUCY</v>
      </c>
      <c r="C342" s="38" t="s">
        <v>322</v>
      </c>
      <c r="D342" s="4" t="s">
        <v>599</v>
      </c>
      <c r="E342">
        <v>90205</v>
      </c>
      <c r="F342" t="s">
        <v>220</v>
      </c>
      <c r="G342" s="4" t="s">
        <v>244</v>
      </c>
      <c r="H342" s="4" t="str">
        <f>VLOOKUP(A342,'Monthly EE List'!A:G,7,0)</f>
        <v>A</v>
      </c>
      <c r="I342"/>
      <c r="J342" s="5"/>
      <c r="K342"/>
      <c r="L342" s="4" t="str">
        <f t="shared" ca="1" si="9"/>
        <v/>
      </c>
      <c r="M342" s="6" t="str">
        <f>IF(VLOOKUP($C$4,Working!$A$23:$L$52,Working!$F$21,0)="Y",TEXT($C$6,"YYYYMM")&amp;"_"&amp;$E342&amp;"_"&amp;Working!$B$11&amp;Working!$B$12,"")</f>
        <v>201703_90205_Top15.xlsx</v>
      </c>
      <c r="N342" s="6" t="str">
        <f>IF(VLOOKUP($C$4,Working!$A$23:$L$52,Working!$I$21,0)="Y",TEXT($C$6,"YYYYMM")&amp;"_"&amp;$E342&amp;"_"&amp;Working!$B$13&amp;Working!$B$14,"")</f>
        <v/>
      </c>
      <c r="O342" s="4"/>
      <c r="P342" s="4"/>
      <c r="Q342" s="41" t="s">
        <v>228</v>
      </c>
      <c r="R342" s="41"/>
      <c r="S342" s="41"/>
      <c r="T342" s="41"/>
      <c r="U342" s="41"/>
      <c r="V342" s="4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</row>
    <row r="343" spans="1:45" s="10" customFormat="1" x14ac:dyDescent="0.3">
      <c r="A343">
        <v>6018</v>
      </c>
      <c r="B343" s="37" t="str">
        <f>VLOOKUP(A343,'Monthly EE List'!A:D,4,0)&amp;" "&amp;VLOOKUP(A343,'Monthly EE List'!A:D,3,0)</f>
        <v>SHAUN SULLIVAN</v>
      </c>
      <c r="C343" s="38" t="s">
        <v>447</v>
      </c>
      <c r="D343" s="4" t="s">
        <v>599</v>
      </c>
      <c r="E343" t="s">
        <v>154</v>
      </c>
      <c r="F343" t="s">
        <v>220</v>
      </c>
      <c r="G343" s="4" t="s">
        <v>142</v>
      </c>
      <c r="H343" s="4" t="str">
        <f>VLOOKUP(A343,'Monthly EE List'!A:G,7,0)</f>
        <v>A</v>
      </c>
      <c r="I343"/>
      <c r="J343" s="5"/>
      <c r="K343"/>
      <c r="L343" s="4" t="str">
        <f t="shared" ca="1" si="9"/>
        <v/>
      </c>
      <c r="M343" s="6" t="str">
        <f>IF(VLOOKUP($C$4,Working!$A$23:$L$52,Working!$F$21,0)="Y",TEXT($C$6,"YYYYMM")&amp;"_"&amp;$E343&amp;"_"&amp;Working!$B$11&amp;Working!$B$12,"")</f>
        <v>201703_AZ1XT_Top15.xlsx</v>
      </c>
      <c r="N343" s="6" t="str">
        <f>IF(VLOOKUP($C$4,Working!$A$23:$L$52,Working!$I$21,0)="Y",TEXT($C$6,"YYYYMM")&amp;"_"&amp;$E343&amp;"_"&amp;Working!$B$13&amp;Working!$B$14,"")</f>
        <v/>
      </c>
      <c r="O343" s="4" t="s">
        <v>228</v>
      </c>
      <c r="P343" s="4" t="s">
        <v>228</v>
      </c>
      <c r="Q343" s="41"/>
      <c r="R343" s="41"/>
      <c r="S343" s="41"/>
      <c r="T343" s="41"/>
      <c r="U343" s="41" t="s">
        <v>228</v>
      </c>
      <c r="V343" s="54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</row>
    <row r="344" spans="1:45" s="10" customFormat="1" x14ac:dyDescent="0.3">
      <c r="A344">
        <v>6023</v>
      </c>
      <c r="B344" s="37" t="str">
        <f>VLOOKUP(A344,'Monthly EE List'!A:D,4,0)&amp;" "&amp;VLOOKUP(A344,'Monthly EE List'!A:D,3,0)</f>
        <v>DAVID POLLARD</v>
      </c>
      <c r="C344" s="38" t="s">
        <v>254</v>
      </c>
      <c r="D344" s="4" t="s">
        <v>599</v>
      </c>
      <c r="E344">
        <v>50603</v>
      </c>
      <c r="F344" t="s">
        <v>227</v>
      </c>
      <c r="G344" s="4" t="s">
        <v>244</v>
      </c>
      <c r="H344" s="4" t="str">
        <f>VLOOKUP(A344,'Monthly EE List'!A:G,7,0)</f>
        <v>A</v>
      </c>
      <c r="I344"/>
      <c r="J344" s="5"/>
      <c r="K344"/>
      <c r="L344" s="4" t="str">
        <f t="shared" ca="1" si="9"/>
        <v/>
      </c>
      <c r="M344" s="6" t="str">
        <f>IF(VLOOKUP($C$4,Working!$A$23:$L$52,Working!$F$21,0)="Y",TEXT($C$6,"YYYYMM")&amp;"_"&amp;$E344&amp;"_"&amp;Working!$B$11&amp;Working!$B$12,"")</f>
        <v>201703_50603_Top15.xlsx</v>
      </c>
      <c r="N344" s="6" t="str">
        <f>IF(VLOOKUP($C$4,Working!$A$23:$L$52,Working!$I$21,0)="Y",TEXT($C$6,"YYYYMM")&amp;"_"&amp;$E344&amp;"_"&amp;Working!$B$13&amp;Working!$B$14,"")</f>
        <v/>
      </c>
      <c r="O344" s="4"/>
      <c r="P344" s="4"/>
      <c r="Q344" s="41" t="s">
        <v>228</v>
      </c>
      <c r="R344" s="41"/>
      <c r="S344" s="41"/>
      <c r="T344" s="41"/>
      <c r="U344" s="41"/>
      <c r="V344" s="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</row>
    <row r="345" spans="1:45" s="10" customFormat="1" x14ac:dyDescent="0.3">
      <c r="A345">
        <v>6024</v>
      </c>
      <c r="B345" s="37" t="str">
        <f>VLOOKUP(A345,'Monthly EE List'!A:D,4,0)&amp;" "&amp;VLOOKUP(A345,'Monthly EE List'!A:D,3,0)</f>
        <v>DOUGLAS STEVENS</v>
      </c>
      <c r="C345" s="38" t="s">
        <v>448</v>
      </c>
      <c r="D345" s="4" t="s">
        <v>599</v>
      </c>
      <c r="E345" t="s">
        <v>155</v>
      </c>
      <c r="F345" t="s">
        <v>220</v>
      </c>
      <c r="G345" s="4" t="s">
        <v>142</v>
      </c>
      <c r="H345" s="4" t="str">
        <f>VLOOKUP(A345,'Monthly EE List'!A:G,7,0)</f>
        <v>A</v>
      </c>
      <c r="I345"/>
      <c r="J345" s="5"/>
      <c r="K345"/>
      <c r="L345" s="4" t="str">
        <f t="shared" ca="1" si="9"/>
        <v/>
      </c>
      <c r="M345" s="6" t="str">
        <f>IF(VLOOKUP($C$4,Working!$A$23:$L$52,Working!$F$21,0)="Y",TEXT($C$6,"YYYYMM")&amp;"_"&amp;$E345&amp;"_"&amp;Working!$B$11&amp;Working!$B$12,"")</f>
        <v>201703_AZ1YP_Top15.xlsx</v>
      </c>
      <c r="N345" s="6" t="str">
        <f>IF(VLOOKUP($C$4,Working!$A$23:$L$52,Working!$I$21,0)="Y",TEXT($C$6,"YYYYMM")&amp;"_"&amp;$E345&amp;"_"&amp;Working!$B$13&amp;Working!$B$14,"")</f>
        <v/>
      </c>
      <c r="O345" s="4" t="s">
        <v>228</v>
      </c>
      <c r="P345" s="4" t="s">
        <v>228</v>
      </c>
      <c r="Q345" s="41"/>
      <c r="R345" s="41"/>
      <c r="S345" s="41"/>
      <c r="T345" s="41"/>
      <c r="U345" s="41" t="s">
        <v>228</v>
      </c>
      <c r="V345" s="4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</row>
    <row r="346" spans="1:45" s="10" customFormat="1" x14ac:dyDescent="0.3">
      <c r="A346">
        <v>6032</v>
      </c>
      <c r="B346" s="37" t="str">
        <f>VLOOKUP(A346,'Monthly EE List'!A:D,4,0)&amp;" "&amp;VLOOKUP(A346,'Monthly EE List'!A:D,3,0)</f>
        <v>NICHOLAS DESCHENES</v>
      </c>
      <c r="C346" s="38" t="s">
        <v>306</v>
      </c>
      <c r="D346" s="4" t="s">
        <v>599</v>
      </c>
      <c r="E346">
        <v>51427</v>
      </c>
      <c r="F346" t="s">
        <v>217</v>
      </c>
      <c r="G346" s="4" t="s">
        <v>244</v>
      </c>
      <c r="H346" s="4" t="str">
        <f>VLOOKUP(A346,'Monthly EE List'!A:G,7,0)</f>
        <v>A</v>
      </c>
      <c r="I346"/>
      <c r="J346" s="5"/>
      <c r="K346"/>
      <c r="L346" s="4" t="str">
        <f t="shared" ca="1" si="9"/>
        <v/>
      </c>
      <c r="M346" s="6" t="str">
        <f>IF(VLOOKUP($C$4,Working!$A$23:$L$52,Working!$F$21,0)="Y",TEXT($C$6,"YYYYMM")&amp;"_"&amp;$E346&amp;"_"&amp;Working!$B$11&amp;Working!$B$12,"")</f>
        <v>201703_51427_Top15.xlsx</v>
      </c>
      <c r="N346" s="6" t="str">
        <f>IF(VLOOKUP($C$4,Working!$A$23:$L$52,Working!$I$21,0)="Y",TEXT($C$6,"YYYYMM")&amp;"_"&amp;$E346&amp;"_"&amp;Working!$B$13&amp;Working!$B$14,"")</f>
        <v/>
      </c>
      <c r="O346" s="4"/>
      <c r="P346" s="4"/>
      <c r="Q346" s="41" t="s">
        <v>228</v>
      </c>
      <c r="R346" s="41"/>
      <c r="S346" s="41"/>
      <c r="T346" s="41"/>
      <c r="U346" s="41"/>
      <c r="V346" s="4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</row>
    <row r="347" spans="1:45" s="10" customFormat="1" x14ac:dyDescent="0.3">
      <c r="A347">
        <v>6033</v>
      </c>
      <c r="B347" s="37" t="str">
        <f>VLOOKUP(A347,'Monthly EE List'!A:D,4,0)&amp;" "&amp;VLOOKUP(A347,'Monthly EE List'!A:D,3,0)</f>
        <v>ANDRE FILLION</v>
      </c>
      <c r="C347" s="38" t="s">
        <v>246</v>
      </c>
      <c r="D347" s="4" t="s">
        <v>599</v>
      </c>
      <c r="E347">
        <v>51403</v>
      </c>
      <c r="F347" t="s">
        <v>217</v>
      </c>
      <c r="G347" s="4" t="s">
        <v>244</v>
      </c>
      <c r="H347" s="4" t="str">
        <f>VLOOKUP(A347,'Monthly EE List'!A:G,7,0)</f>
        <v>A</v>
      </c>
      <c r="I347"/>
      <c r="J347" s="5"/>
      <c r="K347"/>
      <c r="L347" s="4" t="str">
        <f t="shared" ca="1" si="9"/>
        <v/>
      </c>
      <c r="M347" s="6" t="str">
        <f>IF(VLOOKUP($C$4,Working!$A$23:$L$52,Working!$F$21,0)="Y",TEXT($C$6,"YYYYMM")&amp;"_"&amp;$E347&amp;"_"&amp;Working!$B$11&amp;Working!$B$12,"")</f>
        <v>201703_51403_Top15.xlsx</v>
      </c>
      <c r="N347" s="6" t="str">
        <f>IF(VLOOKUP($C$4,Working!$A$23:$L$52,Working!$I$21,0)="Y",TEXT($C$6,"YYYYMM")&amp;"_"&amp;$E347&amp;"_"&amp;Working!$B$13&amp;Working!$B$14,"")</f>
        <v/>
      </c>
      <c r="O347" s="4"/>
      <c r="P347" s="4"/>
      <c r="Q347" s="41" t="s">
        <v>228</v>
      </c>
      <c r="R347" s="41"/>
      <c r="S347" s="41"/>
      <c r="T347" s="41"/>
      <c r="U347" s="41"/>
      <c r="V347" s="4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</row>
    <row r="348" spans="1:45" s="10" customFormat="1" x14ac:dyDescent="0.3">
      <c r="A348">
        <v>6034</v>
      </c>
      <c r="B348" s="37" t="str">
        <f>VLOOKUP(A348,'Monthly EE List'!A:D,4,0)&amp;" "&amp;VLOOKUP(A348,'Monthly EE List'!A:D,3,0)</f>
        <v>SEBASTIEN FERRON</v>
      </c>
      <c r="C348" s="38" t="s">
        <v>449</v>
      </c>
      <c r="D348" s="4" t="s">
        <v>599</v>
      </c>
      <c r="E348" t="s">
        <v>156</v>
      </c>
      <c r="F348" t="s">
        <v>217</v>
      </c>
      <c r="G348" s="4" t="s">
        <v>142</v>
      </c>
      <c r="H348" s="4" t="str">
        <f>VLOOKUP(A348,'Monthly EE List'!A:G,7,0)</f>
        <v>A</v>
      </c>
      <c r="I348"/>
      <c r="J348" s="5"/>
      <c r="K348"/>
      <c r="L348" s="4" t="str">
        <f t="shared" ca="1" si="9"/>
        <v/>
      </c>
      <c r="M348" s="6" t="str">
        <f>IF(VLOOKUP($C$4,Working!$A$23:$L$52,Working!$F$21,0)="Y",TEXT($C$6,"YYYYMM")&amp;"_"&amp;$E348&amp;"_"&amp;Working!$B$11&amp;Working!$B$12,"")</f>
        <v>201703_QZ1XH_Top15.xlsx</v>
      </c>
      <c r="N348" s="6" t="str">
        <f>IF(VLOOKUP($C$4,Working!$A$23:$L$52,Working!$I$21,0)="Y",TEXT($C$6,"YYYYMM")&amp;"_"&amp;$E348&amp;"_"&amp;Working!$B$13&amp;Working!$B$14,"")</f>
        <v/>
      </c>
      <c r="O348" s="4" t="s">
        <v>228</v>
      </c>
      <c r="P348" s="4" t="s">
        <v>228</v>
      </c>
      <c r="Q348" s="41"/>
      <c r="R348" s="41"/>
      <c r="S348" s="41"/>
      <c r="T348" s="41"/>
      <c r="U348" s="41" t="s">
        <v>228</v>
      </c>
      <c r="V348" s="4" t="s">
        <v>228</v>
      </c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</row>
    <row r="349" spans="1:45" s="10" customFormat="1" x14ac:dyDescent="0.3">
      <c r="A349">
        <v>6034</v>
      </c>
      <c r="B349" s="37" t="str">
        <f>VLOOKUP(A349,'Monthly EE List'!A:D,4,0)&amp;" "&amp;VLOOKUP(A349,'Monthly EE List'!A:D,3,0)</f>
        <v>SEBASTIEN FERRON</v>
      </c>
      <c r="C349" s="38" t="s">
        <v>449</v>
      </c>
      <c r="D349" s="4" t="s">
        <v>599</v>
      </c>
      <c r="E349" t="s">
        <v>3159</v>
      </c>
      <c r="F349" t="s">
        <v>217</v>
      </c>
      <c r="G349" s="4" t="s">
        <v>142</v>
      </c>
      <c r="H349" s="4" t="str">
        <f>VLOOKUP(A349,'Monthly EE List'!A:G,7,0)</f>
        <v>A</v>
      </c>
      <c r="I349" t="s">
        <v>211</v>
      </c>
      <c r="J349" s="5">
        <v>41771</v>
      </c>
      <c r="K349" t="s">
        <v>3160</v>
      </c>
      <c r="L349" s="4" t="str">
        <f t="shared" ca="1" si="9"/>
        <v/>
      </c>
      <c r="M349" s="6" t="str">
        <f>IF(VLOOKUP($C$4,Working!$A$23:$L$52,Working!$F$21,0)="Y",TEXT($C$6,"YYYYMM")&amp;"_"&amp;$E349&amp;"_"&amp;Working!$B$11&amp;Working!$B$12,"")</f>
        <v>201703_QZ1X2_Top15.xlsx</v>
      </c>
      <c r="N349" s="6" t="str">
        <f>IF(VLOOKUP($C$4,Working!$A$23:$L$52,Working!$I$21,0)="Y",TEXT($C$6,"YYYYMM")&amp;"_"&amp;$E349&amp;"_"&amp;Working!$B$13&amp;Working!$B$14,"")</f>
        <v/>
      </c>
      <c r="O349" s="4" t="s">
        <v>228</v>
      </c>
      <c r="P349" s="54"/>
      <c r="Q349" s="41"/>
      <c r="R349" s="41"/>
      <c r="S349" s="41"/>
      <c r="T349" s="41"/>
      <c r="U349" s="41" t="s">
        <v>228</v>
      </c>
      <c r="V349" s="54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</row>
    <row r="350" spans="1:45" s="10" customFormat="1" x14ac:dyDescent="0.3">
      <c r="A350">
        <v>6036</v>
      </c>
      <c r="B350" s="37" t="str">
        <f>VLOOKUP(A350,'Monthly EE List'!A:D,4,0)&amp;" "&amp;VLOOKUP(A350,'Monthly EE List'!A:D,3,0)</f>
        <v>MICHEL GARANT</v>
      </c>
      <c r="C350" s="38" t="s">
        <v>303</v>
      </c>
      <c r="D350" s="4" t="s">
        <v>599</v>
      </c>
      <c r="E350">
        <v>51420</v>
      </c>
      <c r="F350" t="s">
        <v>217</v>
      </c>
      <c r="G350" s="4" t="s">
        <v>244</v>
      </c>
      <c r="H350" s="4" t="str">
        <f>VLOOKUP(A350,'Monthly EE List'!A:G,7,0)</f>
        <v>A</v>
      </c>
      <c r="I350"/>
      <c r="J350" s="5"/>
      <c r="K350"/>
      <c r="L350" s="4" t="str">
        <f t="shared" ca="1" si="9"/>
        <v/>
      </c>
      <c r="M350" s="6" t="str">
        <f>IF(VLOOKUP($C$4,Working!$A$23:$L$52,Working!$F$21,0)="Y",TEXT($C$6,"YYYYMM")&amp;"_"&amp;$E350&amp;"_"&amp;Working!$B$11&amp;Working!$B$12,"")</f>
        <v>201703_51420_Top15.xlsx</v>
      </c>
      <c r="N350" s="6" t="str">
        <f>IF(VLOOKUP($C$4,Working!$A$23:$L$52,Working!$I$21,0)="Y",TEXT($C$6,"YYYYMM")&amp;"_"&amp;$E350&amp;"_"&amp;Working!$B$13&amp;Working!$B$14,"")</f>
        <v/>
      </c>
      <c r="O350" s="4"/>
      <c r="P350" s="4"/>
      <c r="Q350" s="41" t="s">
        <v>228</v>
      </c>
      <c r="R350" s="41"/>
      <c r="S350" s="41"/>
      <c r="T350" s="41"/>
      <c r="U350" s="41"/>
      <c r="V350" s="4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</row>
    <row r="351" spans="1:45" s="10" customFormat="1" x14ac:dyDescent="0.3">
      <c r="A351">
        <v>6037</v>
      </c>
      <c r="B351" s="37" t="str">
        <f>VLOOKUP(A351,'Monthly EE List'!A:D,4,0)&amp;" "&amp;VLOOKUP(A351,'Monthly EE List'!A:D,3,0)</f>
        <v>MARIO GARIEPY</v>
      </c>
      <c r="C351" s="38" t="s">
        <v>296</v>
      </c>
      <c r="D351" s="4" t="s">
        <v>599</v>
      </c>
      <c r="E351">
        <v>51418</v>
      </c>
      <c r="F351" t="s">
        <v>217</v>
      </c>
      <c r="G351" s="4" t="s">
        <v>244</v>
      </c>
      <c r="H351" s="4" t="str">
        <f>VLOOKUP(A351,'Monthly EE List'!A:G,7,0)</f>
        <v>A</v>
      </c>
      <c r="I351" t="s">
        <v>212</v>
      </c>
      <c r="J351" s="5">
        <v>40963</v>
      </c>
      <c r="K351" t="s">
        <v>2366</v>
      </c>
      <c r="L351" s="4" t="str">
        <f t="shared" ca="1" si="9"/>
        <v/>
      </c>
      <c r="M351" s="6" t="str">
        <f>IF(VLOOKUP($C$4,Working!$A$23:$L$52,Working!$F$21,0)="Y",TEXT($C$6,"YYYYMM")&amp;"_"&amp;$E351&amp;"_"&amp;Working!$B$11&amp;Working!$B$12,"")</f>
        <v>201703_51418_Top15.xlsx</v>
      </c>
      <c r="N351" s="6" t="str">
        <f>IF(VLOOKUP($C$4,Working!$A$23:$L$52,Working!$I$21,0)="Y",TEXT($C$6,"YYYYMM")&amp;"_"&amp;$E351&amp;"_"&amp;Working!$B$13&amp;Working!$B$14,"")</f>
        <v/>
      </c>
      <c r="O351" s="4"/>
      <c r="P351" s="4"/>
      <c r="Q351" s="41" t="s">
        <v>228</v>
      </c>
      <c r="R351" s="41"/>
      <c r="S351" s="41"/>
      <c r="T351" s="41"/>
      <c r="U351" s="41"/>
      <c r="V351" s="4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</row>
    <row r="352" spans="1:45" s="10" customFormat="1" x14ac:dyDescent="0.3">
      <c r="A352">
        <v>6058</v>
      </c>
      <c r="B352" s="37" t="str">
        <f>VLOOKUP(A352,'Monthly EE List'!A:D,4,0)&amp;" "&amp;VLOOKUP(A352,'Monthly EE List'!A:D,3,0)</f>
        <v>IVAN SONICKI</v>
      </c>
      <c r="C352" s="38" t="s">
        <v>3354</v>
      </c>
      <c r="D352" s="4" t="s">
        <v>599</v>
      </c>
      <c r="E352">
        <v>51413</v>
      </c>
      <c r="F352" t="s">
        <v>217</v>
      </c>
      <c r="G352" s="4" t="s">
        <v>244</v>
      </c>
      <c r="H352" s="4" t="str">
        <f>VLOOKUP(A352,'Monthly EE List'!A:G,7,0)</f>
        <v>A</v>
      </c>
      <c r="I352" t="s">
        <v>211</v>
      </c>
      <c r="J352" s="5">
        <v>42083</v>
      </c>
      <c r="K352" t="s">
        <v>551</v>
      </c>
      <c r="L352" s="4" t="str">
        <f t="shared" ca="1" si="9"/>
        <v/>
      </c>
      <c r="M352" s="6" t="str">
        <f>IF(VLOOKUP($C$4,Working!$A$23:$L$52,Working!$F$21,0)="Y",TEXT($C$6,"YYYYMM")&amp;"_"&amp;$E352&amp;"_"&amp;Working!$B$11&amp;Working!$B$12,"")</f>
        <v>201703_51413_Top15.xlsx</v>
      </c>
      <c r="N352" s="6" t="str">
        <f>IF(VLOOKUP($C$4,Working!$A$23:$L$52,Working!$I$21,0)="Y",TEXT($C$6,"YYYYMM")&amp;"_"&amp;$E352&amp;"_"&amp;Working!$B$13&amp;Working!$B$14,"")</f>
        <v/>
      </c>
      <c r="O352" s="4"/>
      <c r="P352" s="59"/>
      <c r="Q352" s="41" t="s">
        <v>228</v>
      </c>
      <c r="R352" s="41"/>
      <c r="S352" s="41"/>
      <c r="T352" s="41"/>
      <c r="U352" s="41"/>
      <c r="V352" s="59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</row>
    <row r="353" spans="1:45" x14ac:dyDescent="0.3">
      <c r="A353">
        <v>6061</v>
      </c>
      <c r="B353" s="37" t="str">
        <f>VLOOKUP(A353,'Monthly EE List'!A:D,4,0)&amp;" "&amp;VLOOKUP(A353,'Monthly EE List'!A:D,3,0)</f>
        <v>JOCELYN BRISEBOIS</v>
      </c>
      <c r="C353" s="38" t="s">
        <v>450</v>
      </c>
      <c r="D353" s="4" t="s">
        <v>599</v>
      </c>
      <c r="E353" t="s">
        <v>157</v>
      </c>
      <c r="F353" t="s">
        <v>217</v>
      </c>
      <c r="G353" s="4" t="s">
        <v>142</v>
      </c>
      <c r="H353" s="4" t="str">
        <f>VLOOKUP(A353,'Monthly EE List'!A:G,7,0)</f>
        <v>A</v>
      </c>
      <c r="J353" s="5"/>
      <c r="L353" s="4" t="str">
        <f t="shared" ca="1" si="9"/>
        <v/>
      </c>
      <c r="M353" s="6" t="str">
        <f>IF(VLOOKUP($C$4,Working!$A$23:$L$52,Working!$F$21,0)="Y",TEXT($C$6,"YYYYMM")&amp;"_"&amp;$E353&amp;"_"&amp;Working!$B$11&amp;Working!$B$12,"")</f>
        <v>201703_QZ1TB_Top15.xlsx</v>
      </c>
      <c r="N353" s="6" t="str">
        <f>IF(VLOOKUP($C$4,Working!$A$23:$L$52,Working!$I$21,0)="Y",TEXT($C$6,"YYYYMM")&amp;"_"&amp;$E353&amp;"_"&amp;Working!$B$13&amp;Working!$B$14,"")</f>
        <v/>
      </c>
      <c r="O353" s="4" t="s">
        <v>228</v>
      </c>
      <c r="P353" s="41" t="s">
        <v>228</v>
      </c>
      <c r="Q353" s="41"/>
      <c r="R353" s="41"/>
      <c r="S353" s="41"/>
      <c r="T353" s="41"/>
      <c r="U353" s="41" t="s">
        <v>228</v>
      </c>
      <c r="V353" s="4" t="s">
        <v>228</v>
      </c>
      <c r="AS353"/>
    </row>
    <row r="354" spans="1:45" x14ac:dyDescent="0.3">
      <c r="A354">
        <v>6062</v>
      </c>
      <c r="B354" s="37" t="str">
        <f>VLOOKUP(A354,'Monthly EE List'!A:D,4,0)&amp;" "&amp;VLOOKUP(A354,'Monthly EE List'!A:D,3,0)</f>
        <v>ROBERT BRUNELLE</v>
      </c>
      <c r="C354" s="38" t="s">
        <v>451</v>
      </c>
      <c r="D354" s="4" t="s">
        <v>599</v>
      </c>
      <c r="E354" t="s">
        <v>158</v>
      </c>
      <c r="F354" t="s">
        <v>217</v>
      </c>
      <c r="G354" s="4" t="s">
        <v>3008</v>
      </c>
      <c r="H354" s="4" t="str">
        <f>VLOOKUP(A354,'Monthly EE List'!A:G,7,0)</f>
        <v>A</v>
      </c>
      <c r="J354" s="5"/>
      <c r="L354" s="4" t="str">
        <f t="shared" ca="1" si="9"/>
        <v/>
      </c>
      <c r="M354" s="6" t="str">
        <f>IF(VLOOKUP($C$4,Working!$A$23:$L$52,Working!$F$21,0)="Y",TEXT($C$6,"YYYYMM")&amp;"_"&amp;$E354&amp;"_"&amp;Working!$B$11&amp;Working!$B$12,"")</f>
        <v>201703_QZ1TD_Top15.xlsx</v>
      </c>
      <c r="N354" s="6" t="str">
        <f>IF(VLOOKUP($C$4,Working!$A$23:$L$52,Working!$I$21,0)="Y",TEXT($C$6,"YYYYMM")&amp;"_"&amp;$E354&amp;"_"&amp;Working!$B$13&amp;Working!$B$14,"")</f>
        <v/>
      </c>
      <c r="O354" s="4" t="s">
        <v>228</v>
      </c>
      <c r="P354" s="4" t="s">
        <v>228</v>
      </c>
      <c r="Q354" s="41"/>
      <c r="R354" s="41"/>
      <c r="S354" s="41"/>
      <c r="T354" s="41"/>
      <c r="U354" s="41" t="s">
        <v>228</v>
      </c>
      <c r="V354" s="4" t="s">
        <v>228</v>
      </c>
      <c r="AS354"/>
    </row>
    <row r="355" spans="1:45" x14ac:dyDescent="0.3">
      <c r="A355">
        <v>6062</v>
      </c>
      <c r="B355" s="37" t="str">
        <f>VLOOKUP(A355,'Monthly EE List'!A:D,4,0)&amp;" "&amp;VLOOKUP(A355,'Monthly EE List'!A:D,3,0)</f>
        <v>ROBERT BRUNELLE</v>
      </c>
      <c r="C355" s="38" t="s">
        <v>451</v>
      </c>
      <c r="D355" s="4" t="s">
        <v>599</v>
      </c>
      <c r="E355" t="s">
        <v>2577</v>
      </c>
      <c r="F355" t="s">
        <v>217</v>
      </c>
      <c r="G355" s="4" t="s">
        <v>3008</v>
      </c>
      <c r="H355" s="4" t="str">
        <f>VLOOKUP(A355,'Monthly EE List'!A:G,7,0)</f>
        <v>A</v>
      </c>
      <c r="J355" s="5"/>
      <c r="K355" t="s">
        <v>3278</v>
      </c>
      <c r="L355" s="4" t="str">
        <f t="shared" ca="1" si="9"/>
        <v/>
      </c>
      <c r="M355" s="6" t="str">
        <f>IF(VLOOKUP($C$4,Working!$A$23:$L$52,Working!$F$21,0)="Y",TEXT($C$6,"YYYYMM")&amp;"_"&amp;$E355&amp;"_"&amp;Working!$B$11&amp;Working!$B$12,"")</f>
        <v>201703_QZ1B9_Top15.xlsx</v>
      </c>
      <c r="N355" s="6" t="str">
        <f>IF(VLOOKUP($C$4,Working!$A$23:$L$52,Working!$I$21,0)="Y",TEXT($C$6,"YYYYMM")&amp;"_"&amp;$E355&amp;"_"&amp;Working!$B$13&amp;Working!$B$14,"")</f>
        <v/>
      </c>
      <c r="O355" s="55"/>
      <c r="P355" s="54"/>
      <c r="Q355" s="41"/>
      <c r="R355" s="41"/>
      <c r="S355" s="41"/>
      <c r="T355" s="41"/>
      <c r="U355" s="41" t="s">
        <v>228</v>
      </c>
      <c r="V355" s="54"/>
      <c r="AS355"/>
    </row>
    <row r="356" spans="1:45" x14ac:dyDescent="0.3">
      <c r="A356">
        <v>6065</v>
      </c>
      <c r="B356" s="37" t="str">
        <f>VLOOKUP(A356,'Monthly EE List'!A:D,4,0)&amp;" "&amp;VLOOKUP(A356,'Monthly EE List'!A:D,3,0)</f>
        <v>JOANNE GOULET</v>
      </c>
      <c r="C356" s="38" t="s">
        <v>453</v>
      </c>
      <c r="D356" s="4" t="s">
        <v>599</v>
      </c>
      <c r="E356" t="s">
        <v>160</v>
      </c>
      <c r="F356" t="s">
        <v>217</v>
      </c>
      <c r="G356" s="4" t="s">
        <v>142</v>
      </c>
      <c r="H356" s="4" t="str">
        <f>VLOOKUP(A356,'Monthly EE List'!A:G,7,0)</f>
        <v>A</v>
      </c>
      <c r="J356" s="5"/>
      <c r="L356" s="4" t="str">
        <f t="shared" ca="1" si="9"/>
        <v/>
      </c>
      <c r="M356" s="6" t="str">
        <f>IF(VLOOKUP($C$4,Working!$A$23:$L$52,Working!$F$21,0)="Y",TEXT($C$6,"YYYYMM")&amp;"_"&amp;$E356&amp;"_"&amp;Working!$B$11&amp;Working!$B$12,"")</f>
        <v>201703_QZ1TK_Top15.xlsx</v>
      </c>
      <c r="N356" s="6" t="str">
        <f>IF(VLOOKUP($C$4,Working!$A$23:$L$52,Working!$I$21,0)="Y",TEXT($C$6,"YYYYMM")&amp;"_"&amp;$E356&amp;"_"&amp;Working!$B$13&amp;Working!$B$14,"")</f>
        <v/>
      </c>
      <c r="O356" s="4" t="s">
        <v>228</v>
      </c>
      <c r="P356" s="4" t="s">
        <v>228</v>
      </c>
      <c r="Q356" s="41"/>
      <c r="R356" s="41"/>
      <c r="S356" s="41"/>
      <c r="T356" s="41"/>
      <c r="U356" s="41" t="s">
        <v>228</v>
      </c>
      <c r="V356" s="4" t="s">
        <v>228</v>
      </c>
      <c r="AS356"/>
    </row>
    <row r="357" spans="1:45" x14ac:dyDescent="0.3">
      <c r="A357" s="44">
        <v>6067</v>
      </c>
      <c r="B357" s="37" t="str">
        <f>VLOOKUP(A357,'Monthly EE List'!A:D,4,0)&amp;" "&amp;VLOOKUP(A357,'Monthly EE List'!A:D,3,0)</f>
        <v>CHRISTIAN MARSOLAIS</v>
      </c>
      <c r="C357" s="38" t="s">
        <v>507</v>
      </c>
      <c r="D357" s="4" t="s">
        <v>599</v>
      </c>
      <c r="E357" t="s">
        <v>217</v>
      </c>
      <c r="F357" t="s">
        <v>217</v>
      </c>
      <c r="G357" s="4" t="s">
        <v>3024</v>
      </c>
      <c r="H357" s="4" t="str">
        <f>VLOOKUP(A357,'Monthly EE List'!A:G,7,0)</f>
        <v>A</v>
      </c>
      <c r="I357" t="s">
        <v>211</v>
      </c>
      <c r="J357" s="5">
        <v>41191</v>
      </c>
      <c r="K357" t="s">
        <v>2716</v>
      </c>
      <c r="L357" s="4" t="str">
        <f t="shared" ca="1" si="9"/>
        <v>X</v>
      </c>
      <c r="M357" s="6" t="str">
        <f>IF(VLOOKUP($C$4,Working!$A$23:$L$52,Working!$F$21,0)="Y",TEXT($C$6,"YYYYMM")&amp;"_"&amp;$E357&amp;"_"&amp;Working!$B$11&amp;Working!$B$12,"")</f>
        <v>201703_MNTRL_Top15.xlsx</v>
      </c>
      <c r="N357" s="6" t="str">
        <f>IF(VLOOKUP($C$4,Working!$A$23:$L$52,Working!$I$21,0)="Y",TEXT($C$6,"YYYYMM")&amp;"_"&amp;$E357&amp;"_"&amp;Working!$B$13&amp;Working!$B$14,"")</f>
        <v/>
      </c>
      <c r="O357" s="4"/>
      <c r="P357" s="4"/>
      <c r="Q357" s="41"/>
      <c r="R357" s="41"/>
      <c r="S357" s="41"/>
      <c r="T357" s="41"/>
      <c r="U357" s="4"/>
      <c r="V357" s="4"/>
      <c r="W357" s="4" t="s">
        <v>228</v>
      </c>
      <c r="AS357"/>
    </row>
    <row r="358" spans="1:45" x14ac:dyDescent="0.3">
      <c r="A358" s="44">
        <v>6067</v>
      </c>
      <c r="B358" s="37" t="str">
        <f>VLOOKUP(A358,'Monthly EE List'!A:D,4,0)&amp;" "&amp;VLOOKUP(A358,'Monthly EE List'!A:D,3,0)</f>
        <v>CHRISTIAN MARSOLAIS</v>
      </c>
      <c r="C358" s="38" t="s">
        <v>507</v>
      </c>
      <c r="D358" s="4" t="s">
        <v>599</v>
      </c>
      <c r="E358" t="s">
        <v>219</v>
      </c>
      <c r="F358" t="s">
        <v>219</v>
      </c>
      <c r="G358" s="4" t="s">
        <v>3024</v>
      </c>
      <c r="H358" s="4" t="str">
        <f>VLOOKUP(A358,'Monthly EE List'!A:G,7,0)</f>
        <v>A</v>
      </c>
      <c r="I358" t="s">
        <v>211</v>
      </c>
      <c r="J358" s="5">
        <v>41191</v>
      </c>
      <c r="K358" t="s">
        <v>2716</v>
      </c>
      <c r="L358" s="4" t="str">
        <f t="shared" ca="1" si="9"/>
        <v>X</v>
      </c>
      <c r="M358" s="6" t="str">
        <f>IF(VLOOKUP($C$4,Working!$A$23:$L$52,Working!$F$21,0)="Y",TEXT($C$6,"YYYYMM")&amp;"_"&amp;$E358&amp;"_"&amp;Working!$B$11&amp;Working!$B$12,"")</f>
        <v>201703_QUEBC_Top15.xlsx</v>
      </c>
      <c r="N358" s="6" t="str">
        <f>IF(VLOOKUP($C$4,Working!$A$23:$L$52,Working!$I$21,0)="Y",TEXT($C$6,"YYYYMM")&amp;"_"&amp;$E358&amp;"_"&amp;Working!$B$13&amp;Working!$B$14,"")</f>
        <v/>
      </c>
      <c r="O358" s="4"/>
      <c r="P358" s="4"/>
      <c r="Q358" s="41"/>
      <c r="R358" s="41"/>
      <c r="S358" s="41"/>
      <c r="T358" s="41"/>
      <c r="U358" s="4"/>
      <c r="V358" s="4"/>
      <c r="W358" s="4" t="s">
        <v>228</v>
      </c>
      <c r="AS358"/>
    </row>
    <row r="359" spans="1:45" x14ac:dyDescent="0.3">
      <c r="A359">
        <v>6069</v>
      </c>
      <c r="B359" s="37" t="str">
        <f>VLOOKUP(A359,'Monthly EE List'!A:D,4,0)&amp;" "&amp;VLOOKUP(A359,'Monthly EE List'!A:D,3,0)</f>
        <v>DOMINIQUE PIERREHUMBERT</v>
      </c>
      <c r="C359" s="38" t="s">
        <v>455</v>
      </c>
      <c r="D359" s="4" t="s">
        <v>599</v>
      </c>
      <c r="E359" t="s">
        <v>162</v>
      </c>
      <c r="F359" t="s">
        <v>217</v>
      </c>
      <c r="G359" s="4" t="s">
        <v>142</v>
      </c>
      <c r="H359" s="4" t="str">
        <f>VLOOKUP(A359,'Monthly EE List'!A:G,7,0)</f>
        <v>A</v>
      </c>
      <c r="J359" s="5"/>
      <c r="L359" s="4" t="str">
        <f t="shared" ca="1" si="9"/>
        <v/>
      </c>
      <c r="M359" s="6" t="str">
        <f>IF(VLOOKUP($C$4,Working!$A$23:$L$52,Working!$F$21,0)="Y",TEXT($C$6,"YYYYMM")&amp;"_"&amp;$E359&amp;"_"&amp;Working!$B$11&amp;Working!$B$12,"")</f>
        <v>201703_QZ1YE_Top15.xlsx</v>
      </c>
      <c r="N359" s="6" t="str">
        <f>IF(VLOOKUP($C$4,Working!$A$23:$L$52,Working!$I$21,0)="Y",TEXT($C$6,"YYYYMM")&amp;"_"&amp;$E359&amp;"_"&amp;Working!$B$13&amp;Working!$B$14,"")</f>
        <v/>
      </c>
      <c r="O359" s="4" t="s">
        <v>228</v>
      </c>
      <c r="P359" s="4" t="s">
        <v>228</v>
      </c>
      <c r="Q359" s="41"/>
      <c r="R359" s="41"/>
      <c r="S359" s="41"/>
      <c r="T359" s="41"/>
      <c r="U359" s="4" t="s">
        <v>228</v>
      </c>
      <c r="V359" s="4" t="s">
        <v>228</v>
      </c>
      <c r="W359" s="41"/>
      <c r="AS359"/>
    </row>
    <row r="360" spans="1:45" x14ac:dyDescent="0.3">
      <c r="A360">
        <v>6070</v>
      </c>
      <c r="B360" s="37" t="str">
        <f>VLOOKUP(A360,'Monthly EE List'!A:D,4,0)&amp;" "&amp;VLOOKUP(A360,'Monthly EE List'!A:D,3,0)</f>
        <v>MARTINE PINET</v>
      </c>
      <c r="C360" s="38" t="s">
        <v>456</v>
      </c>
      <c r="D360" s="4" t="s">
        <v>599</v>
      </c>
      <c r="E360" t="s">
        <v>163</v>
      </c>
      <c r="F360" t="s">
        <v>217</v>
      </c>
      <c r="G360" s="4" t="s">
        <v>142</v>
      </c>
      <c r="H360" s="4" t="str">
        <f>VLOOKUP(A360,'Monthly EE List'!A:G,7,0)</f>
        <v>A</v>
      </c>
      <c r="J360" s="5"/>
      <c r="L360" s="4" t="str">
        <f t="shared" ca="1" si="9"/>
        <v/>
      </c>
      <c r="M360" s="6" t="str">
        <f>IF(VLOOKUP($C$4,Working!$A$23:$L$52,Working!$F$21,0)="Y",TEXT($C$6,"YYYYMM")&amp;"_"&amp;$E360&amp;"_"&amp;Working!$B$11&amp;Working!$B$12,"")</f>
        <v>201703_QZ1TE_Top15.xlsx</v>
      </c>
      <c r="N360" s="6" t="str">
        <f>IF(VLOOKUP($C$4,Working!$A$23:$L$52,Working!$I$21,0)="Y",TEXT($C$6,"YYYYMM")&amp;"_"&amp;$E360&amp;"_"&amp;Working!$B$13&amp;Working!$B$14,"")</f>
        <v/>
      </c>
      <c r="O360" s="4" t="s">
        <v>228</v>
      </c>
      <c r="P360" s="4" t="s">
        <v>228</v>
      </c>
      <c r="Q360" s="41"/>
      <c r="R360" s="41"/>
      <c r="S360" s="41"/>
      <c r="T360" s="41"/>
      <c r="U360" s="41" t="s">
        <v>228</v>
      </c>
      <c r="V360" s="4" t="s">
        <v>228</v>
      </c>
      <c r="AS360"/>
    </row>
    <row r="361" spans="1:45" x14ac:dyDescent="0.3">
      <c r="A361">
        <v>6071</v>
      </c>
      <c r="B361" s="37" t="str">
        <f>VLOOKUP(A361,'Monthly EE List'!A:D,4,0)&amp;" "&amp;VLOOKUP(A361,'Monthly EE List'!A:D,3,0)</f>
        <v>STEPHANE SIMARD</v>
      </c>
      <c r="C361" s="38" t="s">
        <v>457</v>
      </c>
      <c r="D361" s="4" t="s">
        <v>599</v>
      </c>
      <c r="E361" t="s">
        <v>164</v>
      </c>
      <c r="F361" t="s">
        <v>217</v>
      </c>
      <c r="G361" s="4" t="s">
        <v>142</v>
      </c>
      <c r="H361" s="4" t="str">
        <f>VLOOKUP(A361,'Monthly EE List'!A:G,7,0)</f>
        <v>A</v>
      </c>
      <c r="J361" s="5"/>
      <c r="L361" s="4" t="str">
        <f t="shared" ca="1" si="9"/>
        <v/>
      </c>
      <c r="M361" s="6" t="str">
        <f>IF(VLOOKUP($C$4,Working!$A$23:$L$52,Working!$F$21,0)="Y",TEXT($C$6,"YYYYMM")&amp;"_"&amp;$E361&amp;"_"&amp;Working!$B$11&amp;Working!$B$12,"")</f>
        <v>201703_QZ1TI_Top15.xlsx</v>
      </c>
      <c r="N361" s="6" t="str">
        <f>IF(VLOOKUP($C$4,Working!$A$23:$L$52,Working!$I$21,0)="Y",TEXT($C$6,"YYYYMM")&amp;"_"&amp;$E361&amp;"_"&amp;Working!$B$13&amp;Working!$B$14,"")</f>
        <v/>
      </c>
      <c r="O361" s="4" t="s">
        <v>228</v>
      </c>
      <c r="P361" s="4" t="s">
        <v>228</v>
      </c>
      <c r="Q361" s="41"/>
      <c r="R361" s="41"/>
      <c r="S361" s="41"/>
      <c r="T361" s="41"/>
      <c r="U361" s="41" t="s">
        <v>228</v>
      </c>
      <c r="V361" s="4" t="s">
        <v>228</v>
      </c>
      <c r="AS361"/>
    </row>
    <row r="362" spans="1:45" x14ac:dyDescent="0.3">
      <c r="A362" s="44">
        <v>6072</v>
      </c>
      <c r="B362" s="37" t="str">
        <f>VLOOKUP(A362,'Monthly EE List'!A:D,4,0)&amp;" "&amp;VLOOKUP(A362,'Monthly EE List'!A:D,3,0)</f>
        <v>YVES TREPANIER</v>
      </c>
      <c r="C362" s="38" t="s">
        <v>539</v>
      </c>
      <c r="D362" s="4" t="s">
        <v>599</v>
      </c>
      <c r="E362" t="s">
        <v>217</v>
      </c>
      <c r="F362" t="s">
        <v>217</v>
      </c>
      <c r="G362" s="4" t="s">
        <v>3024</v>
      </c>
      <c r="H362" s="4" t="str">
        <f>VLOOKUP(A362,'Monthly EE List'!A:G,7,0)</f>
        <v>A</v>
      </c>
      <c r="I362" t="s">
        <v>211</v>
      </c>
      <c r="J362" s="5">
        <v>41348</v>
      </c>
      <c r="K362" t="s">
        <v>2716</v>
      </c>
      <c r="L362" s="4" t="str">
        <f t="shared" ref="L362:L392" ca="1" si="10">IF(OFFSET(N362,,$C$4)="X","X","")</f>
        <v>X</v>
      </c>
      <c r="M362" s="6" t="str">
        <f>IF(VLOOKUP($C$4,Working!$A$23:$L$52,Working!$F$21,0)="Y",TEXT($C$6,"YYYYMM")&amp;"_"&amp;$E362&amp;"_"&amp;Working!$B$11&amp;Working!$B$12,"")</f>
        <v>201703_MNTRL_Top15.xlsx</v>
      </c>
      <c r="N362" s="6" t="str">
        <f>IF(VLOOKUP($C$4,Working!$A$23:$L$52,Working!$I$21,0)="Y",TEXT($C$6,"YYYYMM")&amp;"_"&amp;$E362&amp;"_"&amp;Working!$B$13&amp;Working!$B$14,"")</f>
        <v/>
      </c>
      <c r="O362" s="4"/>
      <c r="P362" s="4"/>
      <c r="Q362" s="41"/>
      <c r="R362" s="41"/>
      <c r="S362" s="41"/>
      <c r="T362" s="41"/>
      <c r="U362" s="4"/>
      <c r="V362" s="4"/>
      <c r="W362" s="4" t="s">
        <v>228</v>
      </c>
      <c r="AS362"/>
    </row>
    <row r="363" spans="1:45" x14ac:dyDescent="0.3">
      <c r="A363" s="44">
        <v>6072</v>
      </c>
      <c r="B363" s="37" t="str">
        <f>VLOOKUP(A363,'Monthly EE List'!A:D,4,0)&amp;" "&amp;VLOOKUP(A363,'Monthly EE List'!A:D,3,0)</f>
        <v>YVES TREPANIER</v>
      </c>
      <c r="C363" s="38" t="s">
        <v>539</v>
      </c>
      <c r="D363" s="4" t="s">
        <v>599</v>
      </c>
      <c r="E363" t="s">
        <v>219</v>
      </c>
      <c r="F363" t="s">
        <v>219</v>
      </c>
      <c r="G363" s="4" t="s">
        <v>3024</v>
      </c>
      <c r="H363" s="4" t="str">
        <f>VLOOKUP(A363,'Monthly EE List'!A:G,7,0)</f>
        <v>A</v>
      </c>
      <c r="I363" t="s">
        <v>211</v>
      </c>
      <c r="J363" s="5">
        <v>41348</v>
      </c>
      <c r="K363" t="s">
        <v>2716</v>
      </c>
      <c r="L363" s="4" t="str">
        <f t="shared" ca="1" si="10"/>
        <v>X</v>
      </c>
      <c r="M363" s="6" t="str">
        <f>IF(VLOOKUP($C$4,Working!$A$23:$L$52,Working!$F$21,0)="Y",TEXT($C$6,"YYYYMM")&amp;"_"&amp;$E363&amp;"_"&amp;Working!$B$11&amp;Working!$B$12,"")</f>
        <v>201703_QUEBC_Top15.xlsx</v>
      </c>
      <c r="N363" s="6" t="str">
        <f>IF(VLOOKUP($C$4,Working!$A$23:$L$52,Working!$I$21,0)="Y",TEXT($C$6,"YYYYMM")&amp;"_"&amp;$E363&amp;"_"&amp;Working!$B$13&amp;Working!$B$14,"")</f>
        <v/>
      </c>
      <c r="O363" s="4"/>
      <c r="P363" s="4"/>
      <c r="Q363" s="41"/>
      <c r="R363" s="41"/>
      <c r="S363" s="41"/>
      <c r="T363" s="41"/>
      <c r="U363" s="4"/>
      <c r="V363" s="4"/>
      <c r="W363" s="4" t="s">
        <v>228</v>
      </c>
      <c r="AS363"/>
    </row>
    <row r="364" spans="1:45" x14ac:dyDescent="0.3">
      <c r="A364">
        <v>6077</v>
      </c>
      <c r="B364" s="37" t="str">
        <f>VLOOKUP(A364,'Monthly EE List'!A:D,4,0)&amp;" "&amp;VLOOKUP(A364,'Monthly EE List'!A:D,3,0)</f>
        <v>WILLIAM BRISSON</v>
      </c>
      <c r="C364" s="38" t="s">
        <v>339</v>
      </c>
      <c r="D364" s="4" t="s">
        <v>599</v>
      </c>
      <c r="E364">
        <v>61315</v>
      </c>
      <c r="F364" t="s">
        <v>221</v>
      </c>
      <c r="G364" s="4" t="s">
        <v>244</v>
      </c>
      <c r="H364" s="4" t="str">
        <f>VLOOKUP(A364,'Monthly EE List'!A:G,7,0)</f>
        <v>A</v>
      </c>
      <c r="J364" s="5"/>
      <c r="L364" s="4" t="str">
        <f t="shared" ca="1" si="10"/>
        <v/>
      </c>
      <c r="M364" s="6" t="str">
        <f>IF(VLOOKUP($C$4,Working!$A$23:$L$52,Working!$F$21,0)="Y",TEXT($C$6,"YYYYMM")&amp;"_"&amp;$E364&amp;"_"&amp;Working!$B$11&amp;Working!$B$12,"")</f>
        <v>201703_61315_Top15.xlsx</v>
      </c>
      <c r="N364" s="6" t="str">
        <f>IF(VLOOKUP($C$4,Working!$A$23:$L$52,Working!$I$21,0)="Y",TEXT($C$6,"YYYYMM")&amp;"_"&amp;$E364&amp;"_"&amp;Working!$B$13&amp;Working!$B$14,"")</f>
        <v/>
      </c>
      <c r="O364" s="4"/>
      <c r="P364" s="4"/>
      <c r="Q364" s="41" t="s">
        <v>228</v>
      </c>
      <c r="R364" s="41"/>
      <c r="S364" s="41"/>
      <c r="T364" s="41"/>
      <c r="U364" s="41"/>
      <c r="V364" s="4"/>
      <c r="AS364"/>
    </row>
    <row r="365" spans="1:45" x14ac:dyDescent="0.3">
      <c r="A365">
        <v>6082</v>
      </c>
      <c r="B365" s="37" t="str">
        <f>VLOOKUP(A365,'Monthly EE List'!A:D,4,0)&amp;" "&amp;VLOOKUP(A365,'Monthly EE List'!A:D,3,0)</f>
        <v>JOYCE GALLOWAY</v>
      </c>
      <c r="C365" s="38" t="s">
        <v>458</v>
      </c>
      <c r="D365" s="4" t="s">
        <v>599</v>
      </c>
      <c r="E365" t="s">
        <v>165</v>
      </c>
      <c r="F365" t="s">
        <v>221</v>
      </c>
      <c r="G365" s="4" t="s">
        <v>142</v>
      </c>
      <c r="H365" s="4" t="str">
        <f>VLOOKUP(A365,'Monthly EE List'!A:G,7,0)</f>
        <v>A</v>
      </c>
      <c r="J365" s="5"/>
      <c r="L365" s="4" t="str">
        <f t="shared" ca="1" si="10"/>
        <v/>
      </c>
      <c r="M365" s="6" t="str">
        <f>IF(VLOOKUP($C$4,Working!$A$23:$L$52,Working!$F$21,0)="Y",TEXT($C$6,"YYYYMM")&amp;"_"&amp;$E365&amp;"_"&amp;Working!$B$11&amp;Working!$B$12,"")</f>
        <v>201703_CZ1YI_Top15.xlsx</v>
      </c>
      <c r="N365" s="6" t="str">
        <f>IF(VLOOKUP($C$4,Working!$A$23:$L$52,Working!$I$21,0)="Y",TEXT($C$6,"YYYYMM")&amp;"_"&amp;$E365&amp;"_"&amp;Working!$B$13&amp;Working!$B$14,"")</f>
        <v/>
      </c>
      <c r="O365" s="4" t="s">
        <v>228</v>
      </c>
      <c r="P365" s="4" t="s">
        <v>228</v>
      </c>
      <c r="Q365" s="41"/>
      <c r="R365" s="41"/>
      <c r="S365" s="41"/>
      <c r="T365" s="41"/>
      <c r="U365" s="41" t="s">
        <v>228</v>
      </c>
      <c r="V365" s="54"/>
      <c r="AS365"/>
    </row>
    <row r="366" spans="1:45" x14ac:dyDescent="0.3">
      <c r="A366">
        <v>6088</v>
      </c>
      <c r="B366" s="37" t="str">
        <f>VLOOKUP(A366,'Monthly EE List'!A:D,4,0)&amp;" "&amp;VLOOKUP(A366,'Monthly EE List'!A:D,3,0)</f>
        <v>DAVID LUCAS</v>
      </c>
      <c r="C366" s="38" t="s">
        <v>263</v>
      </c>
      <c r="D366" s="4" t="s">
        <v>599</v>
      </c>
      <c r="E366">
        <v>61305</v>
      </c>
      <c r="F366" t="s">
        <v>221</v>
      </c>
      <c r="G366" s="4" t="s">
        <v>244</v>
      </c>
      <c r="H366" s="4" t="str">
        <f>VLOOKUP(A366,'Monthly EE List'!A:G,7,0)</f>
        <v>A</v>
      </c>
      <c r="I366" s="5" t="s">
        <v>212</v>
      </c>
      <c r="J366" s="5">
        <v>41106</v>
      </c>
      <c r="K366" t="s">
        <v>2405</v>
      </c>
      <c r="L366" s="4" t="str">
        <f t="shared" ca="1" si="10"/>
        <v/>
      </c>
      <c r="M366" s="6" t="str">
        <f>IF(VLOOKUP($C$4,Working!$A$23:$L$52,Working!$F$21,0)="Y",TEXT($C$6,"YYYYMM")&amp;"_"&amp;$E366&amp;"_"&amp;Working!$B$11&amp;Working!$B$12,"")</f>
        <v>201703_61305_Top15.xlsx</v>
      </c>
      <c r="N366" s="6" t="str">
        <f>IF(VLOOKUP($C$4,Working!$A$23:$L$52,Working!$I$21,0)="Y",TEXT($C$6,"YYYYMM")&amp;"_"&amp;$E366&amp;"_"&amp;Working!$B$13&amp;Working!$B$14,"")</f>
        <v/>
      </c>
      <c r="O366" s="4"/>
      <c r="P366" s="4"/>
      <c r="Q366" s="41" t="s">
        <v>228</v>
      </c>
      <c r="R366" s="41"/>
      <c r="S366" s="41"/>
      <c r="T366" s="41"/>
      <c r="U366" s="41"/>
      <c r="V366" s="4"/>
      <c r="AS366"/>
    </row>
    <row r="367" spans="1:45" x14ac:dyDescent="0.3">
      <c r="A367">
        <v>6089</v>
      </c>
      <c r="B367" s="37" t="str">
        <f>VLOOKUP(A367,'Monthly EE List'!A:D,4,0)&amp;" "&amp;VLOOKUP(A367,'Monthly EE List'!A:D,3,0)</f>
        <v>STEVEN PARKER</v>
      </c>
      <c r="C367" s="38" t="s">
        <v>459</v>
      </c>
      <c r="D367" s="4" t="s">
        <v>599</v>
      </c>
      <c r="E367" t="s">
        <v>166</v>
      </c>
      <c r="F367" t="s">
        <v>221</v>
      </c>
      <c r="G367" s="4" t="s">
        <v>142</v>
      </c>
      <c r="H367" s="4" t="str">
        <f>VLOOKUP(A367,'Monthly EE List'!A:G,7,0)</f>
        <v>A</v>
      </c>
      <c r="J367" s="5"/>
      <c r="L367" s="4" t="str">
        <f t="shared" ca="1" si="10"/>
        <v/>
      </c>
      <c r="M367" s="6" t="str">
        <f>IF(VLOOKUP($C$4,Working!$A$23:$L$52,Working!$F$21,0)="Y",TEXT($C$6,"YYYYMM")&amp;"_"&amp;$E367&amp;"_"&amp;Working!$B$11&amp;Working!$B$12,"")</f>
        <v>201703_CZ1YW_Top15.xlsx</v>
      </c>
      <c r="N367" s="6" t="str">
        <f>IF(VLOOKUP($C$4,Working!$A$23:$L$52,Working!$I$21,0)="Y",TEXT($C$6,"YYYYMM")&amp;"_"&amp;$E367&amp;"_"&amp;Working!$B$13&amp;Working!$B$14,"")</f>
        <v/>
      </c>
      <c r="O367" s="4" t="s">
        <v>228</v>
      </c>
      <c r="P367" s="4" t="s">
        <v>228</v>
      </c>
      <c r="Q367" s="41"/>
      <c r="R367" s="41"/>
      <c r="S367" s="41"/>
      <c r="T367" s="41"/>
      <c r="U367" s="41" t="s">
        <v>228</v>
      </c>
      <c r="V367" s="54"/>
      <c r="AS367"/>
    </row>
    <row r="368" spans="1:45" x14ac:dyDescent="0.3">
      <c r="A368">
        <v>6094</v>
      </c>
      <c r="B368" s="37" t="str">
        <f>VLOOKUP(A368,'Monthly EE List'!A:D,4,0)&amp;" "&amp;VLOOKUP(A368,'Monthly EE List'!A:D,3,0)</f>
        <v>RAYMOND VANNESTE</v>
      </c>
      <c r="C368" s="38" t="s">
        <v>311</v>
      </c>
      <c r="D368" s="4" t="s">
        <v>599</v>
      </c>
      <c r="E368">
        <v>61309</v>
      </c>
      <c r="F368" t="s">
        <v>221</v>
      </c>
      <c r="G368" s="4" t="s">
        <v>244</v>
      </c>
      <c r="H368" s="4" t="str">
        <f>VLOOKUP(A368,'Monthly EE List'!A:G,7,0)</f>
        <v>LOA</v>
      </c>
      <c r="I368" t="s">
        <v>212</v>
      </c>
      <c r="J368" s="5">
        <v>42681</v>
      </c>
      <c r="K368" s="43" t="s">
        <v>145</v>
      </c>
      <c r="L368" s="4" t="str">
        <f t="shared" ca="1" si="10"/>
        <v/>
      </c>
      <c r="M368" s="6" t="str">
        <f>IF(VLOOKUP($C$4,Working!$A$23:$L$52,Working!$F$21,0)="Y",TEXT($C$6,"YYYYMM")&amp;"_"&amp;$E368&amp;"_"&amp;Working!$B$11&amp;Working!$B$12,"")</f>
        <v>201703_61309_Top15.xlsx</v>
      </c>
      <c r="N368" s="6" t="str">
        <f>IF(VLOOKUP($C$4,Working!$A$23:$L$52,Working!$I$21,0)="Y",TEXT($C$6,"YYYYMM")&amp;"_"&amp;$E368&amp;"_"&amp;Working!$B$13&amp;Working!$B$14,"")</f>
        <v/>
      </c>
      <c r="O368" s="4"/>
      <c r="P368" s="4"/>
      <c r="Q368" s="54"/>
      <c r="R368" s="41"/>
      <c r="S368" s="41"/>
      <c r="T368" s="41"/>
      <c r="U368" s="41"/>
      <c r="V368" s="4"/>
      <c r="AS368"/>
    </row>
    <row r="369" spans="1:45" x14ac:dyDescent="0.3">
      <c r="A369">
        <v>6095</v>
      </c>
      <c r="B369" s="37" t="str">
        <f>VLOOKUP(A369,'Monthly EE List'!A:D,4,0)&amp;" "&amp;VLOOKUP(A369,'Monthly EE List'!A:D,3,0)</f>
        <v>BARRY G. WILLIAMS</v>
      </c>
      <c r="C369" s="38" t="s">
        <v>460</v>
      </c>
      <c r="D369" s="4" t="s">
        <v>599</v>
      </c>
      <c r="E369" t="s">
        <v>167</v>
      </c>
      <c r="F369" t="s">
        <v>221</v>
      </c>
      <c r="G369" s="4" t="s">
        <v>142</v>
      </c>
      <c r="H369" s="4" t="str">
        <f>VLOOKUP(A369,'Monthly EE List'!A:G,7,0)</f>
        <v>A</v>
      </c>
      <c r="J369" s="5"/>
      <c r="L369" s="4" t="str">
        <f t="shared" ca="1" si="10"/>
        <v/>
      </c>
      <c r="M369" s="6" t="str">
        <f>IF(VLOOKUP($C$4,Working!$A$23:$L$52,Working!$F$21,0)="Y",TEXT($C$6,"YYYYMM")&amp;"_"&amp;$E369&amp;"_"&amp;Working!$B$11&amp;Working!$B$12,"")</f>
        <v>201703_CZ1UE_Top15.xlsx</v>
      </c>
      <c r="N369" s="6" t="str">
        <f>IF(VLOOKUP($C$4,Working!$A$23:$L$52,Working!$I$21,0)="Y",TEXT($C$6,"YYYYMM")&amp;"_"&amp;$E369&amp;"_"&amp;Working!$B$13&amp;Working!$B$14,"")</f>
        <v/>
      </c>
      <c r="O369" s="4" t="s">
        <v>228</v>
      </c>
      <c r="P369" s="4" t="s">
        <v>228</v>
      </c>
      <c r="Q369" s="41"/>
      <c r="R369" s="41"/>
      <c r="S369" s="41"/>
      <c r="T369" s="41"/>
      <c r="U369" s="4" t="s">
        <v>228</v>
      </c>
      <c r="V369" s="54"/>
      <c r="AS369"/>
    </row>
    <row r="370" spans="1:45" x14ac:dyDescent="0.3">
      <c r="A370">
        <v>6097</v>
      </c>
      <c r="B370" s="37" t="str">
        <f>VLOOKUP(A370,'Monthly EE List'!A:D,4,0)&amp;" "&amp;VLOOKUP(A370,'Monthly EE List'!A:D,3,0)</f>
        <v>PETER TARIO</v>
      </c>
      <c r="C370" s="38" t="s">
        <v>462</v>
      </c>
      <c r="D370" s="4" t="s">
        <v>599</v>
      </c>
      <c r="E370" t="s">
        <v>169</v>
      </c>
      <c r="F370" t="s">
        <v>221</v>
      </c>
      <c r="G370" s="4" t="s">
        <v>142</v>
      </c>
      <c r="H370" s="4" t="str">
        <f>VLOOKUP(A370,'Monthly EE List'!A:G,7,0)</f>
        <v>A</v>
      </c>
      <c r="J370" s="5"/>
      <c r="L370" s="4" t="str">
        <f t="shared" ca="1" si="10"/>
        <v/>
      </c>
      <c r="M370" s="6" t="str">
        <f>IF(VLOOKUP($C$4,Working!$A$23:$L$52,Working!$F$21,0)="Y",TEXT($C$6,"YYYYMM")&amp;"_"&amp;$E370&amp;"_"&amp;Working!$B$11&amp;Working!$B$12,"")</f>
        <v>201703_CZ1MJ_Top15.xlsx</v>
      </c>
      <c r="N370" s="6" t="str">
        <f>IF(VLOOKUP($C$4,Working!$A$23:$L$52,Working!$I$21,0)="Y",TEXT($C$6,"YYYYMM")&amp;"_"&amp;$E370&amp;"_"&amp;Working!$B$13&amp;Working!$B$14,"")</f>
        <v/>
      </c>
      <c r="O370" s="4" t="s">
        <v>228</v>
      </c>
      <c r="P370" s="4" t="s">
        <v>228</v>
      </c>
      <c r="Q370" s="41"/>
      <c r="R370" s="41"/>
      <c r="S370" s="41"/>
      <c r="T370" s="41"/>
      <c r="U370" s="41" t="s">
        <v>228</v>
      </c>
      <c r="V370" s="54"/>
      <c r="AS370"/>
    </row>
    <row r="371" spans="1:45" x14ac:dyDescent="0.3">
      <c r="A371">
        <v>6098</v>
      </c>
      <c r="B371" s="37" t="str">
        <f>VLOOKUP(A371,'Monthly EE List'!A:D,4,0)&amp;" "&amp;VLOOKUP(A371,'Monthly EE List'!A:D,3,0)</f>
        <v>LIZABETH KEMP-LIPNICKY</v>
      </c>
      <c r="C371" s="38" t="s">
        <v>463</v>
      </c>
      <c r="D371" s="4" t="s">
        <v>599</v>
      </c>
      <c r="E371" t="s">
        <v>170</v>
      </c>
      <c r="F371" t="s">
        <v>215</v>
      </c>
      <c r="G371" s="4" t="s">
        <v>142</v>
      </c>
      <c r="H371" s="4" t="str">
        <f>VLOOKUP(A371,'Monthly EE List'!A:G,7,0)</f>
        <v>A</v>
      </c>
      <c r="J371" s="5"/>
      <c r="L371" s="4" t="str">
        <f t="shared" ca="1" si="10"/>
        <v/>
      </c>
      <c r="M371" s="6" t="str">
        <f>IF(VLOOKUP($C$4,Working!$A$23:$L$52,Working!$F$21,0)="Y",TEXT($C$6,"YYYYMM")&amp;"_"&amp;$E371&amp;"_"&amp;Working!$B$11&amp;Working!$B$12,"")</f>
        <v>201703_CZ1VG_Top15.xlsx</v>
      </c>
      <c r="N371" s="6" t="str">
        <f>IF(VLOOKUP($C$4,Working!$A$23:$L$52,Working!$I$21,0)="Y",TEXT($C$6,"YYYYMM")&amp;"_"&amp;$E371&amp;"_"&amp;Working!$B$13&amp;Working!$B$14,"")</f>
        <v/>
      </c>
      <c r="O371" s="4" t="s">
        <v>228</v>
      </c>
      <c r="P371" s="4" t="s">
        <v>228</v>
      </c>
      <c r="Q371" s="41"/>
      <c r="R371" s="41"/>
      <c r="S371" s="41"/>
      <c r="T371" s="41"/>
      <c r="U371" s="41" t="s">
        <v>228</v>
      </c>
      <c r="V371" s="54"/>
      <c r="AS371"/>
    </row>
    <row r="372" spans="1:45" x14ac:dyDescent="0.3">
      <c r="A372">
        <v>6102</v>
      </c>
      <c r="B372" s="37" t="str">
        <f>VLOOKUP(A372,'Monthly EE List'!A:D,4,0)&amp;" "&amp;VLOOKUP(A372,'Monthly EE List'!A:D,3,0)</f>
        <v>LAURA STEWART</v>
      </c>
      <c r="C372" s="38" t="s">
        <v>464</v>
      </c>
      <c r="D372" s="4" t="s">
        <v>599</v>
      </c>
      <c r="E372" t="s">
        <v>171</v>
      </c>
      <c r="F372" t="s">
        <v>215</v>
      </c>
      <c r="G372" s="4" t="s">
        <v>142</v>
      </c>
      <c r="H372" s="4" t="str">
        <f>VLOOKUP(A372,'Monthly EE List'!A:G,7,0)</f>
        <v>A</v>
      </c>
      <c r="J372" s="5"/>
      <c r="L372" s="4" t="str">
        <f t="shared" ca="1" si="10"/>
        <v/>
      </c>
      <c r="M372" s="6" t="str">
        <f>IF(VLOOKUP($C$4,Working!$A$23:$L$52,Working!$F$21,0)="Y",TEXT($C$6,"YYYYMM")&amp;"_"&amp;$E372&amp;"_"&amp;Working!$B$11&amp;Working!$B$12,"")</f>
        <v>201703_CZ1VJ_Top15.xlsx</v>
      </c>
      <c r="N372" s="6" t="str">
        <f>IF(VLOOKUP($C$4,Working!$A$23:$L$52,Working!$I$21,0)="Y",TEXT($C$6,"YYYYMM")&amp;"_"&amp;$E372&amp;"_"&amp;Working!$B$13&amp;Working!$B$14,"")</f>
        <v/>
      </c>
      <c r="O372" s="4" t="s">
        <v>228</v>
      </c>
      <c r="P372" s="4" t="s">
        <v>228</v>
      </c>
      <c r="Q372" s="41"/>
      <c r="R372" s="41"/>
      <c r="S372" s="41"/>
      <c r="T372" s="41"/>
      <c r="U372" s="41" t="s">
        <v>228</v>
      </c>
      <c r="V372" s="54"/>
      <c r="AS372"/>
    </row>
    <row r="373" spans="1:45" x14ac:dyDescent="0.3">
      <c r="A373">
        <v>6110</v>
      </c>
      <c r="B373" s="45" t="str">
        <f>VLOOKUP(A373,'Monthly EE List'!A:D,4,0)&amp;" "&amp;VLOOKUP(A373,'Monthly EE List'!A:D,3,0)</f>
        <v>MICHAEL LUCK</v>
      </c>
      <c r="C373" s="38" t="s">
        <v>302</v>
      </c>
      <c r="D373" s="4" t="s">
        <v>599</v>
      </c>
      <c r="E373">
        <v>51901</v>
      </c>
      <c r="F373" t="s">
        <v>218</v>
      </c>
      <c r="G373" s="4" t="s">
        <v>244</v>
      </c>
      <c r="H373" s="4" t="str">
        <f>VLOOKUP(A373,'Monthly EE List'!A:G,7,0)</f>
        <v>A</v>
      </c>
      <c r="I373" t="s">
        <v>212</v>
      </c>
      <c r="J373" s="5">
        <v>41337</v>
      </c>
      <c r="K373" t="s">
        <v>2366</v>
      </c>
      <c r="L373" s="4" t="str">
        <f t="shared" ca="1" si="10"/>
        <v/>
      </c>
      <c r="M373" s="6" t="str">
        <f>IF(VLOOKUP($C$4,Working!$A$23:$L$52,Working!$F$21,0)="Y",TEXT($C$6,"YYYYMM")&amp;"_"&amp;$E373&amp;"_"&amp;Working!$B$11&amp;Working!$B$12,"")</f>
        <v>201703_51901_Top15.xlsx</v>
      </c>
      <c r="N373" s="6" t="str">
        <f>IF(VLOOKUP($C$4,Working!$A$23:$L$52,Working!$I$21,0)="Y",TEXT($C$6,"YYYYMM")&amp;"_"&amp;$E373&amp;"_"&amp;Working!$B$13&amp;Working!$B$14,"")</f>
        <v/>
      </c>
      <c r="O373" s="4"/>
      <c r="P373" s="4"/>
      <c r="Q373" s="41" t="s">
        <v>228</v>
      </c>
      <c r="R373" s="41"/>
      <c r="S373" s="41"/>
      <c r="T373" s="41"/>
      <c r="U373" s="41"/>
      <c r="V373" s="4"/>
      <c r="AS373"/>
    </row>
    <row r="374" spans="1:45" x14ac:dyDescent="0.3">
      <c r="A374">
        <v>6112</v>
      </c>
      <c r="B374" s="37" t="str">
        <f>VLOOKUP(A374,'Monthly EE List'!A:D,4,0)&amp;" "&amp;VLOOKUP(A374,'Monthly EE List'!A:D,3,0)</f>
        <v>BRADLEY ROBINSON</v>
      </c>
      <c r="C374" s="38" t="s">
        <v>252</v>
      </c>
      <c r="D374" s="4" t="s">
        <v>599</v>
      </c>
      <c r="E374">
        <v>51904</v>
      </c>
      <c r="F374" t="s">
        <v>218</v>
      </c>
      <c r="G374" s="4" t="s">
        <v>244</v>
      </c>
      <c r="H374" s="4" t="str">
        <f>VLOOKUP(A374,'Monthly EE List'!A:G,7,0)</f>
        <v>A</v>
      </c>
      <c r="J374" s="5"/>
      <c r="L374" s="4" t="str">
        <f t="shared" ca="1" si="10"/>
        <v/>
      </c>
      <c r="M374" s="6" t="str">
        <f>IF(VLOOKUP($C$4,Working!$A$23:$L$52,Working!$F$21,0)="Y",TEXT($C$6,"YYYYMM")&amp;"_"&amp;$E374&amp;"_"&amp;Working!$B$11&amp;Working!$B$12,"")</f>
        <v>201703_51904_Top15.xlsx</v>
      </c>
      <c r="N374" s="6" t="str">
        <f>IF(VLOOKUP($C$4,Working!$A$23:$L$52,Working!$I$21,0)="Y",TEXT($C$6,"YYYYMM")&amp;"_"&amp;$E374&amp;"_"&amp;Working!$B$13&amp;Working!$B$14,"")</f>
        <v/>
      </c>
      <c r="O374" s="4"/>
      <c r="P374" s="4"/>
      <c r="Q374" s="41" t="s">
        <v>228</v>
      </c>
      <c r="R374" s="41"/>
      <c r="S374" s="41"/>
      <c r="T374" s="41"/>
      <c r="U374" s="41"/>
      <c r="V374" s="4"/>
      <c r="AS374"/>
    </row>
    <row r="375" spans="1:45" x14ac:dyDescent="0.3">
      <c r="A375">
        <v>6126</v>
      </c>
      <c r="B375" s="37" t="str">
        <f>VLOOKUP(A375,'Monthly EE List'!A:D,4,0)&amp;" "&amp;VLOOKUP(A375,'Monthly EE List'!A:D,3,0)</f>
        <v>KEVIN RILEY</v>
      </c>
      <c r="C375" s="38" t="s">
        <v>468</v>
      </c>
      <c r="D375" s="4" t="s">
        <v>599</v>
      </c>
      <c r="E375" t="s">
        <v>175</v>
      </c>
      <c r="F375" t="s">
        <v>216</v>
      </c>
      <c r="G375" s="4" t="s">
        <v>3007</v>
      </c>
      <c r="H375" s="4" t="str">
        <f>VLOOKUP(A375,'Monthly EE List'!A:G,7,0)</f>
        <v>A</v>
      </c>
      <c r="J375" s="5"/>
      <c r="K375" t="s">
        <v>143</v>
      </c>
      <c r="L375" s="4" t="str">
        <f t="shared" ca="1" si="10"/>
        <v/>
      </c>
      <c r="M375" s="6" t="str">
        <f>IF(VLOOKUP($C$4,Working!$A$23:$L$52,Working!$F$21,0)="Y",TEXT($C$6,"YYYYMM")&amp;"_"&amp;$E375&amp;"_"&amp;Working!$B$11&amp;Working!$B$12,"")</f>
        <v>201703_CZ1MI_Top15.xlsx</v>
      </c>
      <c r="N375" s="6" t="str">
        <f>IF(VLOOKUP($C$4,Working!$A$23:$L$52,Working!$I$21,0)="Y",TEXT($C$6,"YYYYMM")&amp;"_"&amp;$E375&amp;"_"&amp;Working!$B$13&amp;Working!$B$14,"")</f>
        <v/>
      </c>
      <c r="O375" s="4" t="s">
        <v>228</v>
      </c>
      <c r="P375" s="4" t="s">
        <v>228</v>
      </c>
      <c r="Q375" s="41"/>
      <c r="R375" s="41"/>
      <c r="S375" s="41"/>
      <c r="T375" s="41"/>
      <c r="U375" s="41" t="s">
        <v>228</v>
      </c>
      <c r="V375" s="54"/>
      <c r="AS375"/>
    </row>
    <row r="376" spans="1:45" x14ac:dyDescent="0.3">
      <c r="A376" s="44">
        <v>6126</v>
      </c>
      <c r="B376" s="37" t="str">
        <f>VLOOKUP(A376,'Monthly EE List'!A:D,4,0)&amp;" "&amp;VLOOKUP(A376,'Monthly EE List'!A:D,3,0)</f>
        <v>KEVIN RILEY</v>
      </c>
      <c r="C376" s="38" t="s">
        <v>468</v>
      </c>
      <c r="D376" s="4" t="s">
        <v>599</v>
      </c>
      <c r="E376" t="s">
        <v>224</v>
      </c>
      <c r="F376" t="s">
        <v>224</v>
      </c>
      <c r="G376" s="4" t="s">
        <v>3007</v>
      </c>
      <c r="H376" s="4" t="str">
        <f>VLOOKUP(A376,'Monthly EE List'!A:G,7,0)</f>
        <v>A</v>
      </c>
      <c r="I376" t="s">
        <v>211</v>
      </c>
      <c r="J376" s="5">
        <v>41191</v>
      </c>
      <c r="K376" t="s">
        <v>2716</v>
      </c>
      <c r="L376" s="4" t="str">
        <f t="shared" ca="1" si="10"/>
        <v>X</v>
      </c>
      <c r="M376" s="6" t="str">
        <f>IF(VLOOKUP($C$4,Working!$A$23:$L$52,Working!$F$21,0)="Y",TEXT($C$6,"YYYYMM")&amp;"_"&amp;$E376&amp;"_"&amp;Working!$B$11&amp;Working!$B$12,"")</f>
        <v>201703_REGIN_Top15.xlsx</v>
      </c>
      <c r="N376" s="6" t="str">
        <f>IF(VLOOKUP($C$4,Working!$A$23:$L$52,Working!$I$21,0)="Y",TEXT($C$6,"YYYYMM")&amp;"_"&amp;$E376&amp;"_"&amp;Working!$B$13&amp;Working!$B$14,"")</f>
        <v/>
      </c>
      <c r="O376" s="62"/>
      <c r="P376" s="59"/>
      <c r="Q376" s="41"/>
      <c r="R376" s="41"/>
      <c r="S376" s="41"/>
      <c r="T376" s="41"/>
      <c r="U376" s="54"/>
      <c r="V376" s="54"/>
      <c r="W376" s="4" t="s">
        <v>228</v>
      </c>
      <c r="AS376"/>
    </row>
    <row r="377" spans="1:45" x14ac:dyDescent="0.3">
      <c r="A377" s="44">
        <v>6126</v>
      </c>
      <c r="B377" s="37" t="str">
        <f>VLOOKUP(A377,'Monthly EE List'!A:D,4,0)&amp;" "&amp;VLOOKUP(A377,'Monthly EE List'!A:D,3,0)</f>
        <v>KEVIN RILEY</v>
      </c>
      <c r="C377" s="38" t="s">
        <v>468</v>
      </c>
      <c r="D377" s="4" t="s">
        <v>599</v>
      </c>
      <c r="E377" t="s">
        <v>216</v>
      </c>
      <c r="F377" t="s">
        <v>216</v>
      </c>
      <c r="G377" s="4" t="s">
        <v>3007</v>
      </c>
      <c r="H377" s="4" t="str">
        <f>VLOOKUP(A377,'Monthly EE List'!A:G,7,0)</f>
        <v>A</v>
      </c>
      <c r="I377" t="s">
        <v>211</v>
      </c>
      <c r="J377" s="5">
        <v>41191</v>
      </c>
      <c r="K377" t="s">
        <v>2716</v>
      </c>
      <c r="L377" s="4" t="str">
        <f t="shared" ca="1" si="10"/>
        <v>X</v>
      </c>
      <c r="M377" s="6" t="str">
        <f>IF(VLOOKUP($C$4,Working!$A$23:$L$52,Working!$F$21,0)="Y",TEXT($C$6,"YYYYMM")&amp;"_"&amp;$E377&amp;"_"&amp;Working!$B$11&amp;Working!$B$12,"")</f>
        <v>201703_WINPG_Top15.xlsx</v>
      </c>
      <c r="N377" s="6" t="str">
        <f>IF(VLOOKUP($C$4,Working!$A$23:$L$52,Working!$I$21,0)="Y",TEXT($C$6,"YYYYMM")&amp;"_"&amp;$E377&amp;"_"&amp;Working!$B$13&amp;Working!$B$14,"")</f>
        <v/>
      </c>
      <c r="O377" s="62"/>
      <c r="P377" s="59"/>
      <c r="Q377" s="41"/>
      <c r="R377" s="41"/>
      <c r="S377" s="41"/>
      <c r="T377" s="41"/>
      <c r="U377" s="54"/>
      <c r="V377" s="54"/>
      <c r="W377" s="4" t="s">
        <v>228</v>
      </c>
      <c r="AS377"/>
    </row>
    <row r="378" spans="1:45" x14ac:dyDescent="0.3">
      <c r="A378">
        <v>6127</v>
      </c>
      <c r="B378" s="37" t="str">
        <f>VLOOKUP(A378,'Monthly EE List'!A:D,4,0)&amp;" "&amp;VLOOKUP(A378,'Monthly EE List'!A:D,3,0)</f>
        <v>MARK SCOTT</v>
      </c>
      <c r="C378" s="38" t="s">
        <v>469</v>
      </c>
      <c r="D378" s="4" t="s">
        <v>599</v>
      </c>
      <c r="E378" t="s">
        <v>176</v>
      </c>
      <c r="F378" t="s">
        <v>216</v>
      </c>
      <c r="G378" s="4" t="s">
        <v>142</v>
      </c>
      <c r="H378" s="4" t="str">
        <f>VLOOKUP(A378,'Monthly EE List'!A:G,7,0)</f>
        <v>A</v>
      </c>
      <c r="I378" t="s">
        <v>212</v>
      </c>
      <c r="J378" s="5">
        <v>41348</v>
      </c>
      <c r="K378" t="s">
        <v>2866</v>
      </c>
      <c r="L378" s="4" t="str">
        <f t="shared" ca="1" si="10"/>
        <v/>
      </c>
      <c r="M378" s="6" t="str">
        <f>IF(VLOOKUP($C$4,Working!$A$23:$L$52,Working!$F$21,0)="Y",TEXT($C$6,"YYYYMM")&amp;"_"&amp;$E378&amp;"_"&amp;Working!$B$11&amp;Working!$B$12,"")</f>
        <v>201703_CZ1XD_Top15.xlsx</v>
      </c>
      <c r="N378" s="6" t="str">
        <f>IF(VLOOKUP($C$4,Working!$A$23:$L$52,Working!$I$21,0)="Y",TEXT($C$6,"YYYYMM")&amp;"_"&amp;$E378&amp;"_"&amp;Working!$B$13&amp;Working!$B$14,"")</f>
        <v/>
      </c>
      <c r="O378" s="4" t="s">
        <v>228</v>
      </c>
      <c r="P378" s="4" t="s">
        <v>228</v>
      </c>
      <c r="Q378" s="41"/>
      <c r="R378" s="41"/>
      <c r="S378" s="41"/>
      <c r="T378" s="41"/>
      <c r="U378" s="41" t="s">
        <v>228</v>
      </c>
      <c r="V378" s="54"/>
      <c r="AS378"/>
    </row>
    <row r="379" spans="1:45" x14ac:dyDescent="0.3">
      <c r="A379">
        <v>6129</v>
      </c>
      <c r="B379" s="37" t="str">
        <f>VLOOKUP(A379,'Monthly EE List'!A:D,4,0)&amp;" "&amp;VLOOKUP(A379,'Monthly EE List'!A:D,3,0)</f>
        <v>LAURIE SYLVESTER</v>
      </c>
      <c r="C379" s="38" t="s">
        <v>470</v>
      </c>
      <c r="D379" s="4" t="s">
        <v>599</v>
      </c>
      <c r="E379" t="s">
        <v>177</v>
      </c>
      <c r="F379" t="s">
        <v>216</v>
      </c>
      <c r="G379" s="4" t="s">
        <v>142</v>
      </c>
      <c r="H379" s="4" t="str">
        <f>VLOOKUP(A379,'Monthly EE List'!A:G,7,0)</f>
        <v>A</v>
      </c>
      <c r="J379" s="5"/>
      <c r="L379" s="4" t="str">
        <f t="shared" ca="1" si="10"/>
        <v/>
      </c>
      <c r="M379" s="6" t="str">
        <f>IF(VLOOKUP($C$4,Working!$A$23:$L$52,Working!$F$21,0)="Y",TEXT($C$6,"YYYYMM")&amp;"_"&amp;$E379&amp;"_"&amp;Working!$B$11&amp;Working!$B$12,"")</f>
        <v>201703_CZ1XB_Top15.xlsx</v>
      </c>
      <c r="N379" s="6" t="str">
        <f>IF(VLOOKUP($C$4,Working!$A$23:$L$52,Working!$I$21,0)="Y",TEXT($C$6,"YYYYMM")&amp;"_"&amp;$E379&amp;"_"&amp;Working!$B$13&amp;Working!$B$14,"")</f>
        <v/>
      </c>
      <c r="O379" s="4" t="s">
        <v>228</v>
      </c>
      <c r="P379" s="4" t="s">
        <v>228</v>
      </c>
      <c r="Q379" s="41"/>
      <c r="R379" s="41"/>
      <c r="S379" s="41"/>
      <c r="T379" s="41"/>
      <c r="U379" s="41" t="s">
        <v>228</v>
      </c>
      <c r="V379" s="54"/>
      <c r="AS379"/>
    </row>
    <row r="380" spans="1:45" x14ac:dyDescent="0.3">
      <c r="A380">
        <v>6133</v>
      </c>
      <c r="B380" s="37" t="str">
        <f>VLOOKUP(A380,'Monthly EE List'!A:D,4,0)&amp;" "&amp;VLOOKUP(A380,'Monthly EE List'!A:D,3,0)</f>
        <v>GEOFF HOLOD</v>
      </c>
      <c r="C380" s="38" t="s">
        <v>471</v>
      </c>
      <c r="D380" s="4" t="s">
        <v>599</v>
      </c>
      <c r="E380" t="s">
        <v>178</v>
      </c>
      <c r="F380" t="s">
        <v>216</v>
      </c>
      <c r="G380" s="4" t="s">
        <v>142</v>
      </c>
      <c r="H380" s="4" t="str">
        <f>VLOOKUP(A380,'Monthly EE List'!A:G,7,0)</f>
        <v>A</v>
      </c>
      <c r="J380" s="5"/>
      <c r="L380" s="4" t="str">
        <f t="shared" ca="1" si="10"/>
        <v/>
      </c>
      <c r="M380" s="6" t="str">
        <f>IF(VLOOKUP($C$4,Working!$A$23:$L$52,Working!$F$21,0)="Y",TEXT($C$6,"YYYYMM")&amp;"_"&amp;$E380&amp;"_"&amp;Working!$B$11&amp;Working!$B$12,"")</f>
        <v>201703_CZ1WT_Top15.xlsx</v>
      </c>
      <c r="N380" s="6" t="str">
        <f>IF(VLOOKUP($C$4,Working!$A$23:$L$52,Working!$I$21,0)="Y",TEXT($C$6,"YYYYMM")&amp;"_"&amp;$E380&amp;"_"&amp;Working!$B$13&amp;Working!$B$14,"")</f>
        <v/>
      </c>
      <c r="O380" s="4" t="s">
        <v>228</v>
      </c>
      <c r="P380" s="4" t="s">
        <v>228</v>
      </c>
      <c r="Q380" s="41"/>
      <c r="R380" s="41"/>
      <c r="S380" s="41"/>
      <c r="T380" s="41"/>
      <c r="U380" s="41" t="s">
        <v>228</v>
      </c>
      <c r="V380" s="54"/>
      <c r="AS380"/>
    </row>
    <row r="381" spans="1:45" s="10" customFormat="1" x14ac:dyDescent="0.3">
      <c r="A381">
        <v>6134</v>
      </c>
      <c r="B381" s="37" t="str">
        <f>VLOOKUP(A381,'Monthly EE List'!A:D,4,0)&amp;" "&amp;VLOOKUP(A381,'Monthly EE List'!A:D,3,0)</f>
        <v>KAREN HARDWICK</v>
      </c>
      <c r="C381" s="38" t="s">
        <v>473</v>
      </c>
      <c r="D381" s="4" t="s">
        <v>599</v>
      </c>
      <c r="E381" t="s">
        <v>179</v>
      </c>
      <c r="F381" t="s">
        <v>216</v>
      </c>
      <c r="G381" s="4" t="s">
        <v>142</v>
      </c>
      <c r="H381" s="4" t="str">
        <f>VLOOKUP(A381,'Monthly EE List'!A:G,7,0)</f>
        <v>A</v>
      </c>
      <c r="I381"/>
      <c r="J381" s="5"/>
      <c r="K381"/>
      <c r="L381" s="4" t="str">
        <f t="shared" ca="1" si="10"/>
        <v/>
      </c>
      <c r="M381" s="6" t="str">
        <f>IF(VLOOKUP($C$4,Working!$A$23:$L$52,Working!$F$21,0)="Y",TEXT($C$6,"YYYYMM")&amp;"_"&amp;$E381&amp;"_"&amp;Working!$B$11&amp;Working!$B$12,"")</f>
        <v>201703_CZ1XA_Top15.xlsx</v>
      </c>
      <c r="N381" s="6" t="str">
        <f>IF(VLOOKUP($C$4,Working!$A$23:$L$52,Working!$I$21,0)="Y",TEXT($C$6,"YYYYMM")&amp;"_"&amp;$E381&amp;"_"&amp;Working!$B$13&amp;Working!$B$14,"")</f>
        <v/>
      </c>
      <c r="O381" s="4" t="s">
        <v>228</v>
      </c>
      <c r="P381" s="4" t="s">
        <v>228</v>
      </c>
      <c r="Q381" s="41"/>
      <c r="R381" s="41"/>
      <c r="S381" s="41"/>
      <c r="T381" s="41"/>
      <c r="U381" s="41" t="s">
        <v>228</v>
      </c>
      <c r="V381" s="54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</row>
    <row r="382" spans="1:45" x14ac:dyDescent="0.3">
      <c r="A382">
        <v>6135</v>
      </c>
      <c r="B382" s="37" t="str">
        <f>VLOOKUP(A382,'Monthly EE List'!A:D,4,0)&amp;" "&amp;VLOOKUP(A382,'Monthly EE List'!A:D,3,0)</f>
        <v>RUSSELL BURTON</v>
      </c>
      <c r="C382" s="38" t="s">
        <v>318</v>
      </c>
      <c r="D382" s="4" t="s">
        <v>599</v>
      </c>
      <c r="E382">
        <v>30603</v>
      </c>
      <c r="F382" t="s">
        <v>224</v>
      </c>
      <c r="G382" s="4" t="s">
        <v>244</v>
      </c>
      <c r="H382" s="4" t="str">
        <f>VLOOKUP(A382,'Monthly EE List'!A:G,7,0)</f>
        <v>A</v>
      </c>
      <c r="J382" s="5"/>
      <c r="L382" s="4" t="str">
        <f t="shared" ca="1" si="10"/>
        <v/>
      </c>
      <c r="M382" s="6" t="str">
        <f>IF(VLOOKUP($C$4,Working!$A$23:$L$52,Working!$F$21,0)="Y",TEXT($C$6,"YYYYMM")&amp;"_"&amp;$E382&amp;"_"&amp;Working!$B$11&amp;Working!$B$12,"")</f>
        <v>201703_30603_Top15.xlsx</v>
      </c>
      <c r="N382" s="6" t="str">
        <f>IF(VLOOKUP($C$4,Working!$A$23:$L$52,Working!$I$21,0)="Y",TEXT($C$6,"YYYYMM")&amp;"_"&amp;$E382&amp;"_"&amp;Working!$B$13&amp;Working!$B$14,"")</f>
        <v/>
      </c>
      <c r="O382" s="4"/>
      <c r="P382" s="4"/>
      <c r="Q382" s="41"/>
      <c r="R382" s="41"/>
      <c r="S382" s="41"/>
      <c r="T382" s="41"/>
      <c r="U382" s="41"/>
      <c r="V382" s="4"/>
      <c r="AS382"/>
    </row>
    <row r="383" spans="1:45" x14ac:dyDescent="0.3">
      <c r="A383">
        <v>6135</v>
      </c>
      <c r="B383" s="37" t="str">
        <f>VLOOKUP(A383,'Monthly EE List'!A:D,4,0)&amp;" "&amp;VLOOKUP(A383,'Monthly EE List'!A:D,3,0)</f>
        <v>RUSSELL BURTON</v>
      </c>
      <c r="C383" s="38" t="s">
        <v>318</v>
      </c>
      <c r="D383" s="4" t="s">
        <v>599</v>
      </c>
      <c r="E383" t="s">
        <v>3651</v>
      </c>
      <c r="F383" t="s">
        <v>224</v>
      </c>
      <c r="G383" s="4" t="s">
        <v>142</v>
      </c>
      <c r="H383" s="4" t="str">
        <f>VLOOKUP(A383,'Monthly EE List'!A:G,7,0)</f>
        <v>A</v>
      </c>
      <c r="I383" t="s">
        <v>211</v>
      </c>
      <c r="J383" s="5">
        <v>42443</v>
      </c>
      <c r="K383" t="s">
        <v>3652</v>
      </c>
      <c r="L383" s="4" t="str">
        <f t="shared" ca="1" si="10"/>
        <v/>
      </c>
      <c r="M383" s="6" t="str">
        <f>IF(VLOOKUP($C$4,Working!$A$23:$L$52,Working!$F$21,0)="Y",TEXT($C$6,"YYYYMM")&amp;"_"&amp;$E383&amp;"_"&amp;Working!$B$11&amp;Working!$B$12,"")</f>
        <v>201703_WZ1RB_Top15.xlsx</v>
      </c>
      <c r="N383" s="6" t="str">
        <f>IF(VLOOKUP($C$4,Working!$A$23:$L$52,Working!$I$21,0)="Y",TEXT($C$6,"YYYYMM")&amp;"_"&amp;$E383&amp;"_"&amp;Working!$B$13&amp;Working!$B$14,"")</f>
        <v/>
      </c>
      <c r="O383" s="4" t="s">
        <v>228</v>
      </c>
      <c r="P383" s="54"/>
      <c r="Q383" s="41"/>
      <c r="R383" s="41"/>
      <c r="S383" s="41"/>
      <c r="T383" s="41"/>
      <c r="U383" s="41" t="s">
        <v>228</v>
      </c>
      <c r="V383" s="54"/>
      <c r="AS383"/>
    </row>
    <row r="384" spans="1:45" x14ac:dyDescent="0.3">
      <c r="A384">
        <v>6137</v>
      </c>
      <c r="B384" s="37" t="str">
        <f>VLOOKUP(A384,'Monthly EE List'!A:D,4,0)&amp;" "&amp;VLOOKUP(A384,'Monthly EE List'!A:D,3,0)</f>
        <v>KELLY FRADETTE</v>
      </c>
      <c r="C384" s="38" t="s">
        <v>472</v>
      </c>
      <c r="D384" s="4" t="s">
        <v>599</v>
      </c>
      <c r="E384" t="s">
        <v>242</v>
      </c>
      <c r="F384" t="s">
        <v>224</v>
      </c>
      <c r="G384" s="4" t="s">
        <v>142</v>
      </c>
      <c r="H384" s="4" t="str">
        <f>VLOOKUP(A384,'Monthly EE List'!A:G,7,0)</f>
        <v>A</v>
      </c>
      <c r="I384" t="s">
        <v>212</v>
      </c>
      <c r="J384" s="5">
        <v>42230</v>
      </c>
      <c r="K384" t="s">
        <v>2866</v>
      </c>
      <c r="L384" s="4" t="str">
        <f t="shared" ca="1" si="10"/>
        <v/>
      </c>
      <c r="M384" s="6" t="str">
        <f>IF(VLOOKUP($C$4,Working!$A$23:$L$52,Working!$F$21,0)="Y",TEXT($C$6,"YYYYMM")&amp;"_"&amp;$E384&amp;"_"&amp;Working!$B$11&amp;Working!$B$12,"")</f>
        <v>201703_WZ2KF_Top15.xlsx</v>
      </c>
      <c r="N384" s="6" t="str">
        <f>IF(VLOOKUP($C$4,Working!$A$23:$L$52,Working!$I$21,0)="Y",TEXT($C$6,"YYYYMM")&amp;"_"&amp;$E384&amp;"_"&amp;Working!$B$13&amp;Working!$B$14,"")</f>
        <v/>
      </c>
      <c r="O384" s="4" t="s">
        <v>228</v>
      </c>
      <c r="P384" s="4" t="s">
        <v>228</v>
      </c>
      <c r="Q384" s="41"/>
      <c r="R384" s="41"/>
      <c r="S384" s="41"/>
      <c r="T384" s="41"/>
      <c r="U384" s="41" t="s">
        <v>228</v>
      </c>
      <c r="V384" s="54"/>
      <c r="AS384"/>
    </row>
    <row r="385" spans="1:45" x14ac:dyDescent="0.3">
      <c r="A385">
        <v>6142</v>
      </c>
      <c r="B385" s="37" t="str">
        <f>VLOOKUP(A385,'Monthly EE List'!A:D,4,0)&amp;" "&amp;VLOOKUP(A385,'Monthly EE List'!A:D,3,0)</f>
        <v>KATHY MARCIA</v>
      </c>
      <c r="C385" s="38" t="s">
        <v>475</v>
      </c>
      <c r="D385" s="4" t="s">
        <v>599</v>
      </c>
      <c r="E385" t="s">
        <v>181</v>
      </c>
      <c r="F385" t="s">
        <v>224</v>
      </c>
      <c r="G385" s="4" t="s">
        <v>142</v>
      </c>
      <c r="H385" s="4" t="str">
        <f>VLOOKUP(A385,'Monthly EE List'!A:G,7,0)</f>
        <v>A</v>
      </c>
      <c r="J385" s="5"/>
      <c r="L385" s="4" t="str">
        <f t="shared" ca="1" si="10"/>
        <v/>
      </c>
      <c r="M385" s="6" t="str">
        <f>IF(VLOOKUP($C$4,Working!$A$23:$L$52,Working!$F$21,0)="Y",TEXT($C$6,"YYYYMM")&amp;"_"&amp;$E385&amp;"_"&amp;Working!$B$11&amp;Working!$B$12,"")</f>
        <v>201703_WZ148_Top15.xlsx</v>
      </c>
      <c r="N385" s="6" t="str">
        <f>IF(VLOOKUP($C$4,Working!$A$23:$L$52,Working!$I$21,0)="Y",TEXT($C$6,"YYYYMM")&amp;"_"&amp;$E385&amp;"_"&amp;Working!$B$13&amp;Working!$B$14,"")</f>
        <v/>
      </c>
      <c r="O385" s="4" t="s">
        <v>228</v>
      </c>
      <c r="P385" s="4" t="s">
        <v>228</v>
      </c>
      <c r="Q385" s="41"/>
      <c r="R385" s="41"/>
      <c r="S385" s="41"/>
      <c r="T385" s="41"/>
      <c r="U385" s="41" t="s">
        <v>228</v>
      </c>
      <c r="V385" s="54"/>
      <c r="AS385"/>
    </row>
    <row r="386" spans="1:45" x14ac:dyDescent="0.3">
      <c r="A386" s="10">
        <v>6146</v>
      </c>
      <c r="B386" s="37" t="str">
        <f>VLOOKUP(A386,'Monthly EE List'!A:D,4,0)&amp;" "&amp;VLOOKUP(A386,'Monthly EE List'!A:D,3,0)</f>
        <v>GREG CHRISTENSEN</v>
      </c>
      <c r="C386" s="38" t="s">
        <v>2705</v>
      </c>
      <c r="D386" s="4" t="s">
        <v>599</v>
      </c>
      <c r="E386" t="s">
        <v>223</v>
      </c>
      <c r="F386" t="s">
        <v>223</v>
      </c>
      <c r="G386" s="4" t="s">
        <v>2715</v>
      </c>
      <c r="H386" s="4" t="str">
        <f>VLOOKUP(A386,'Monthly EE List'!A:G,7,0)</f>
        <v>A</v>
      </c>
      <c r="I386" t="s">
        <v>211</v>
      </c>
      <c r="J386" s="5">
        <v>41191</v>
      </c>
      <c r="K386" t="s">
        <v>2716</v>
      </c>
      <c r="L386" s="4" t="str">
        <f t="shared" ca="1" si="10"/>
        <v>X</v>
      </c>
      <c r="M386" s="6" t="str">
        <f>IF(VLOOKUP($C$4,Working!$A$23:$L$52,Working!$F$21,0)="Y",TEXT($C$6,"YYYYMM")&amp;"_"&amp;$E386&amp;"_"&amp;Working!$B$11&amp;Working!$B$12,"")</f>
        <v>201703_CALGY_Top15.xlsx</v>
      </c>
      <c r="N386" s="6" t="str">
        <f>IF(VLOOKUP($C$4,Working!$A$23:$L$52,Working!$I$21,0)="Y",TEXT($C$6,"YYYYMM")&amp;"_"&amp;$E386&amp;"_"&amp;Working!$B$13&amp;Working!$B$14,"")</f>
        <v/>
      </c>
      <c r="O386" s="4"/>
      <c r="P386" s="4"/>
      <c r="Q386" s="41"/>
      <c r="R386" s="41"/>
      <c r="S386" s="41"/>
      <c r="T386" s="41"/>
      <c r="U386" s="4"/>
      <c r="V386" s="4"/>
      <c r="W386" s="4" t="s">
        <v>228</v>
      </c>
      <c r="AS386"/>
    </row>
    <row r="387" spans="1:45" x14ac:dyDescent="0.3">
      <c r="A387" s="10">
        <v>6148</v>
      </c>
      <c r="B387" s="37" t="str">
        <f>VLOOKUP(A387,'Monthly EE List'!A:D,4,0)&amp;" "&amp;VLOOKUP(A387,'Monthly EE List'!A:D,3,0)</f>
        <v>DANELLE FULAWKA</v>
      </c>
      <c r="C387" s="38" t="s">
        <v>2704</v>
      </c>
      <c r="D387" s="4" t="s">
        <v>599</v>
      </c>
      <c r="E387" t="s">
        <v>223</v>
      </c>
      <c r="F387" t="s">
        <v>223</v>
      </c>
      <c r="G387" s="4" t="s">
        <v>2715</v>
      </c>
      <c r="H387" s="4" t="str">
        <f>VLOOKUP(A387,'Monthly EE List'!A:G,7,0)</f>
        <v>A</v>
      </c>
      <c r="I387" t="s">
        <v>211</v>
      </c>
      <c r="J387" s="5">
        <v>41191</v>
      </c>
      <c r="K387" t="s">
        <v>2716</v>
      </c>
      <c r="L387" s="4" t="str">
        <f t="shared" ca="1" si="10"/>
        <v>X</v>
      </c>
      <c r="M387" s="6" t="str">
        <f>IF(VLOOKUP($C$4,Working!$A$23:$L$52,Working!$F$21,0)="Y",TEXT($C$6,"YYYYMM")&amp;"_"&amp;$E387&amp;"_"&amp;Working!$B$11&amp;Working!$B$12,"")</f>
        <v>201703_CALGY_Top15.xlsx</v>
      </c>
      <c r="N387" s="6" t="str">
        <f>IF(VLOOKUP($C$4,Working!$A$23:$L$52,Working!$I$21,0)="Y",TEXT($C$6,"YYYYMM")&amp;"_"&amp;$E387&amp;"_"&amp;Working!$B$13&amp;Working!$B$14,"")</f>
        <v/>
      </c>
      <c r="O387" s="4"/>
      <c r="P387" s="4"/>
      <c r="Q387" s="41"/>
      <c r="R387" s="41"/>
      <c r="S387" s="41"/>
      <c r="T387" s="41"/>
      <c r="U387" s="4"/>
      <c r="V387" s="4"/>
      <c r="W387" s="4" t="s">
        <v>228</v>
      </c>
      <c r="AS387"/>
    </row>
    <row r="388" spans="1:45" x14ac:dyDescent="0.3">
      <c r="A388">
        <v>6156</v>
      </c>
      <c r="B388" s="37" t="str">
        <f>VLOOKUP(A388,'Monthly EE List'!A:D,4,0)&amp;" "&amp;VLOOKUP(A388,'Monthly EE List'!A:D,3,0)</f>
        <v>GLENN MAVES</v>
      </c>
      <c r="C388" s="38" t="s">
        <v>476</v>
      </c>
      <c r="D388" s="4" t="s">
        <v>599</v>
      </c>
      <c r="E388" t="s">
        <v>182</v>
      </c>
      <c r="F388" t="s">
        <v>223</v>
      </c>
      <c r="G388" s="4" t="s">
        <v>142</v>
      </c>
      <c r="H388" s="4" t="str">
        <f>VLOOKUP(A388,'Monthly EE List'!A:G,7,0)</f>
        <v>A</v>
      </c>
      <c r="J388" s="5"/>
      <c r="L388" s="4" t="str">
        <f t="shared" ca="1" si="10"/>
        <v/>
      </c>
      <c r="M388" s="6" t="str">
        <f>IF(VLOOKUP($C$4,Working!$A$23:$L$52,Working!$F$21,0)="Y",TEXT($C$6,"YYYYMM")&amp;"_"&amp;$E388&amp;"_"&amp;Working!$B$11&amp;Working!$B$12,"")</f>
        <v>201703_WZ8GM_Top15.xlsx</v>
      </c>
      <c r="N388" s="6" t="str">
        <f>IF(VLOOKUP($C$4,Working!$A$23:$L$52,Working!$I$21,0)="Y",TEXT($C$6,"YYYYMM")&amp;"_"&amp;$E388&amp;"_"&amp;Working!$B$13&amp;Working!$B$14,"")</f>
        <v/>
      </c>
      <c r="O388" s="4" t="s">
        <v>228</v>
      </c>
      <c r="P388" s="4" t="s">
        <v>228</v>
      </c>
      <c r="Q388" s="41"/>
      <c r="R388" s="41"/>
      <c r="S388" s="41"/>
      <c r="T388" s="41"/>
      <c r="U388" s="4" t="s">
        <v>228</v>
      </c>
      <c r="V388" s="54"/>
      <c r="AS388"/>
    </row>
    <row r="389" spans="1:45" x14ac:dyDescent="0.3">
      <c r="A389">
        <v>6158</v>
      </c>
      <c r="B389" s="37" t="str">
        <f>VLOOKUP(A389,'Monthly EE List'!A:D,4,0)&amp;" "&amp;VLOOKUP(A389,'Monthly EE List'!A:D,3,0)</f>
        <v>RONALD POCH</v>
      </c>
      <c r="C389" s="38" t="s">
        <v>477</v>
      </c>
      <c r="D389" s="4" t="s">
        <v>599</v>
      </c>
      <c r="E389" t="s">
        <v>183</v>
      </c>
      <c r="F389" t="s">
        <v>223</v>
      </c>
      <c r="G389" s="4" t="s">
        <v>3008</v>
      </c>
      <c r="H389" s="4" t="str">
        <f>VLOOKUP(A389,'Monthly EE List'!A:G,7,0)</f>
        <v>A</v>
      </c>
      <c r="J389" s="5"/>
      <c r="L389" s="4" t="str">
        <f t="shared" ca="1" si="10"/>
        <v/>
      </c>
      <c r="M389" s="6" t="str">
        <f>IF(VLOOKUP($C$4,Working!$A$23:$L$52,Working!$F$21,0)="Y",TEXT($C$6,"YYYYMM")&amp;"_"&amp;$E389&amp;"_"&amp;Working!$B$11&amp;Working!$B$12,"")</f>
        <v>201703_WZ1BH_Top15.xlsx</v>
      </c>
      <c r="N389" s="6" t="str">
        <f>IF(VLOOKUP($C$4,Working!$A$23:$L$52,Working!$I$21,0)="Y",TEXT($C$6,"YYYYMM")&amp;"_"&amp;$E389&amp;"_"&amp;Working!$B$13&amp;Working!$B$14,"")</f>
        <v/>
      </c>
      <c r="O389" s="4" t="s">
        <v>228</v>
      </c>
      <c r="P389" s="4" t="s">
        <v>228</v>
      </c>
      <c r="Q389" s="41"/>
      <c r="R389" s="41"/>
      <c r="S389" s="41"/>
      <c r="T389" s="41"/>
      <c r="U389" s="41" t="s">
        <v>228</v>
      </c>
      <c r="V389" s="54"/>
      <c r="AS389"/>
    </row>
    <row r="390" spans="1:45" x14ac:dyDescent="0.3">
      <c r="A390">
        <v>6189</v>
      </c>
      <c r="B390" s="37" t="str">
        <f>VLOOKUP(A390,'Monthly EE List'!A:D,4,0)&amp;" "&amp;VLOOKUP(A390,'Monthly EE List'!A:D,3,0)</f>
        <v>EDDIE NGUYEN</v>
      </c>
      <c r="C390" s="38" t="s">
        <v>273</v>
      </c>
      <c r="D390" s="4" t="s">
        <v>599</v>
      </c>
      <c r="E390">
        <v>60404</v>
      </c>
      <c r="F390" t="s">
        <v>214</v>
      </c>
      <c r="G390" s="4" t="s">
        <v>244</v>
      </c>
      <c r="H390" s="4" t="str">
        <f>VLOOKUP(A390,'Monthly EE List'!A:G,7,0)</f>
        <v>A</v>
      </c>
      <c r="J390" s="5"/>
      <c r="L390" s="4" t="str">
        <f t="shared" ca="1" si="10"/>
        <v/>
      </c>
      <c r="M390" s="6" t="str">
        <f>IF(VLOOKUP($C$4,Working!$A$23:$L$52,Working!$F$21,0)="Y",TEXT($C$6,"YYYYMM")&amp;"_"&amp;$E390&amp;"_"&amp;Working!$B$11&amp;Working!$B$12,"")</f>
        <v>201703_60404_Top15.xlsx</v>
      </c>
      <c r="N390" s="6" t="str">
        <f>IF(VLOOKUP($C$4,Working!$A$23:$L$52,Working!$I$21,0)="Y",TEXT($C$6,"YYYYMM")&amp;"_"&amp;$E390&amp;"_"&amp;Working!$B$13&amp;Working!$B$14,"")</f>
        <v/>
      </c>
      <c r="O390" s="4"/>
      <c r="P390" s="4"/>
      <c r="Q390" s="41" t="s">
        <v>228</v>
      </c>
      <c r="R390" s="41"/>
      <c r="S390" s="41"/>
      <c r="T390" s="41"/>
      <c r="U390" s="41"/>
      <c r="V390" s="4"/>
      <c r="AS390"/>
    </row>
    <row r="391" spans="1:45" x14ac:dyDescent="0.3">
      <c r="A391">
        <v>6191</v>
      </c>
      <c r="B391" s="37" t="str">
        <f>VLOOKUP(A391,'Monthly EE List'!A:D,4,0)&amp;" "&amp;VLOOKUP(A391,'Monthly EE List'!A:D,3,0)</f>
        <v>CHRISTINE PARK</v>
      </c>
      <c r="C391" s="38" t="s">
        <v>480</v>
      </c>
      <c r="D391" s="4" t="s">
        <v>599</v>
      </c>
      <c r="E391" t="s">
        <v>187</v>
      </c>
      <c r="F391" t="s">
        <v>214</v>
      </c>
      <c r="G391" s="4" t="s">
        <v>142</v>
      </c>
      <c r="H391" s="4" t="str">
        <f>VLOOKUP(A391,'Monthly EE List'!A:G,7,0)</f>
        <v>A</v>
      </c>
      <c r="J391" s="5"/>
      <c r="L391" s="4" t="str">
        <f t="shared" ca="1" si="10"/>
        <v/>
      </c>
      <c r="M391" s="6" t="str">
        <f>IF(VLOOKUP($C$4,Working!$A$23:$L$52,Working!$F$21,0)="Y",TEXT($C$6,"YYYYMM")&amp;"_"&amp;$E391&amp;"_"&amp;Working!$B$11&amp;Working!$B$12,"")</f>
        <v>201703_WZ114_Top15.xlsx</v>
      </c>
      <c r="N391" s="6" t="str">
        <f>IF(VLOOKUP($C$4,Working!$A$23:$L$52,Working!$I$21,0)="Y",TEXT($C$6,"YYYYMM")&amp;"_"&amp;$E391&amp;"_"&amp;Working!$B$13&amp;Working!$B$14,"")</f>
        <v/>
      </c>
      <c r="O391" s="4" t="s">
        <v>228</v>
      </c>
      <c r="P391" s="4" t="s">
        <v>228</v>
      </c>
      <c r="Q391" s="41"/>
      <c r="R391" s="41"/>
      <c r="S391" s="41"/>
      <c r="T391" s="41"/>
      <c r="U391" s="41" t="s">
        <v>228</v>
      </c>
      <c r="V391" s="54"/>
      <c r="AS391"/>
    </row>
    <row r="392" spans="1:45" x14ac:dyDescent="0.3">
      <c r="A392">
        <v>6202</v>
      </c>
      <c r="B392" s="37" t="str">
        <f>VLOOKUP(A392,'Monthly EE List'!A:D,4,0)&amp;" "&amp;VLOOKUP(A392,'Monthly EE List'!A:D,3,0)</f>
        <v>GARY MITCHELL</v>
      </c>
      <c r="C392" s="38" t="s">
        <v>482</v>
      </c>
      <c r="D392" s="4" t="s">
        <v>599</v>
      </c>
      <c r="E392" t="s">
        <v>189</v>
      </c>
      <c r="F392" t="s">
        <v>214</v>
      </c>
      <c r="G392" s="4" t="s">
        <v>142</v>
      </c>
      <c r="H392" s="4" t="str">
        <f>VLOOKUP(A392,'Monthly EE List'!A:G,7,0)</f>
        <v>A</v>
      </c>
      <c r="J392" s="5"/>
      <c r="L392" s="4" t="str">
        <f t="shared" ca="1" si="10"/>
        <v/>
      </c>
      <c r="M392" s="6" t="str">
        <f>IF(VLOOKUP($C$4,Working!$A$23:$L$52,Working!$F$21,0)="Y",TEXT($C$6,"YYYYMM")&amp;"_"&amp;$E392&amp;"_"&amp;Working!$B$11&amp;Working!$B$12,"")</f>
        <v>201703_WZ1A6_Top15.xlsx</v>
      </c>
      <c r="N392" s="6" t="str">
        <f>IF(VLOOKUP($C$4,Working!$A$23:$L$52,Working!$I$21,0)="Y",TEXT($C$6,"YYYYMM")&amp;"_"&amp;$E392&amp;"_"&amp;Working!$B$13&amp;Working!$B$14,"")</f>
        <v/>
      </c>
      <c r="O392" s="4" t="s">
        <v>228</v>
      </c>
      <c r="P392" s="4" t="s">
        <v>228</v>
      </c>
      <c r="Q392" s="41"/>
      <c r="R392" s="41"/>
      <c r="S392" s="41"/>
      <c r="T392" s="41"/>
      <c r="U392" s="41" t="s">
        <v>228</v>
      </c>
      <c r="V392" s="54"/>
      <c r="AS392"/>
    </row>
    <row r="393" spans="1:45" x14ac:dyDescent="0.3">
      <c r="A393">
        <v>6215</v>
      </c>
      <c r="B393" s="37" t="str">
        <f>VLOOKUP(A393,'Monthly EE List'!A:D,4,0)&amp;" "&amp;VLOOKUP(A393,'Monthly EE List'!A:D,3,0)</f>
        <v>GLENN TURKO</v>
      </c>
      <c r="C393" s="38" t="s">
        <v>485</v>
      </c>
      <c r="D393" s="4" t="s">
        <v>599</v>
      </c>
      <c r="E393" t="s">
        <v>192</v>
      </c>
      <c r="F393" t="s">
        <v>226</v>
      </c>
      <c r="G393" s="4" t="s">
        <v>3007</v>
      </c>
      <c r="H393" s="4" t="str">
        <f>VLOOKUP(A393,'Monthly EE List'!A:G,7,0)</f>
        <v>A</v>
      </c>
      <c r="J393" s="5"/>
      <c r="L393" s="4" t="str">
        <f t="shared" ref="L393:L417" ca="1" si="11">IF(OFFSET(N393,,$C$4)="X","X","")</f>
        <v/>
      </c>
      <c r="M393" s="6" t="str">
        <f>IF(VLOOKUP($C$4,Working!$A$23:$L$52,Working!$F$21,0)="Y",TEXT($C$6,"YYYYMM")&amp;"_"&amp;$E393&amp;"_"&amp;Working!$B$11&amp;Working!$B$12,"")</f>
        <v>201703_WZ139_Top15.xlsx</v>
      </c>
      <c r="N393" s="6" t="str">
        <f>IF(VLOOKUP($C$4,Working!$A$23:$L$52,Working!$I$21,0)="Y",TEXT($C$6,"YYYYMM")&amp;"_"&amp;$E393&amp;"_"&amp;Working!$B$13&amp;Working!$B$14,"")</f>
        <v/>
      </c>
      <c r="O393" s="4" t="s">
        <v>228</v>
      </c>
      <c r="P393" s="4" t="s">
        <v>228</v>
      </c>
      <c r="Q393" s="41"/>
      <c r="R393" s="41"/>
      <c r="S393" s="41"/>
      <c r="T393" s="41"/>
      <c r="U393" s="41" t="s">
        <v>228</v>
      </c>
      <c r="V393" s="54"/>
      <c r="AS393"/>
    </row>
    <row r="394" spans="1:45" x14ac:dyDescent="0.3">
      <c r="A394" s="44">
        <v>6215</v>
      </c>
      <c r="B394" s="37" t="str">
        <f>VLOOKUP(A394,'Monthly EE List'!A:D,4,0)&amp;" "&amp;VLOOKUP(A394,'Monthly EE List'!A:D,3,0)</f>
        <v>GLENN TURKO</v>
      </c>
      <c r="C394" s="38" t="s">
        <v>485</v>
      </c>
      <c r="D394" s="4" t="s">
        <v>599</v>
      </c>
      <c r="E394" t="s">
        <v>226</v>
      </c>
      <c r="F394" t="s">
        <v>226</v>
      </c>
      <c r="G394" s="4" t="s">
        <v>3007</v>
      </c>
      <c r="H394" s="4" t="str">
        <f>VLOOKUP(A394,'Monthly EE List'!A:G,7,0)</f>
        <v>A</v>
      </c>
      <c r="I394" t="s">
        <v>211</v>
      </c>
      <c r="J394" s="5">
        <v>41191</v>
      </c>
      <c r="K394" t="s">
        <v>2716</v>
      </c>
      <c r="L394" s="4" t="str">
        <f t="shared" ca="1" si="11"/>
        <v>X</v>
      </c>
      <c r="M394" s="6" t="str">
        <f>IF(VLOOKUP($C$4,Working!$A$23:$L$52,Working!$F$21,0)="Y",TEXT($C$6,"YYYYMM")&amp;"_"&amp;$E394&amp;"_"&amp;Working!$B$11&amp;Working!$B$12,"")</f>
        <v>201703_VICTR_Top15.xlsx</v>
      </c>
      <c r="N394" s="6" t="str">
        <f>IF(VLOOKUP($C$4,Working!$A$23:$L$52,Working!$I$21,0)="Y",TEXT($C$6,"YYYYMM")&amp;"_"&amp;$E394&amp;"_"&amp;Working!$B$13&amp;Working!$B$14,"")</f>
        <v/>
      </c>
      <c r="O394" s="62"/>
      <c r="P394" s="59"/>
      <c r="Q394" s="41"/>
      <c r="R394" s="41"/>
      <c r="S394" s="41"/>
      <c r="T394" s="41"/>
      <c r="U394" s="54"/>
      <c r="V394" s="54"/>
      <c r="W394" s="4" t="s">
        <v>228</v>
      </c>
      <c r="AS394"/>
    </row>
    <row r="395" spans="1:45" x14ac:dyDescent="0.3">
      <c r="A395">
        <v>6242</v>
      </c>
      <c r="B395" s="37" t="str">
        <f>VLOOKUP(A395,'Monthly EE List'!A:D,4,0)&amp;" "&amp;VLOOKUP(A395,'Monthly EE List'!A:D,3,0)</f>
        <v>DEXTER BABOOLAL</v>
      </c>
      <c r="C395" s="38" t="s">
        <v>269</v>
      </c>
      <c r="D395" s="4" t="s">
        <v>599</v>
      </c>
      <c r="E395">
        <v>41601</v>
      </c>
      <c r="F395" t="s">
        <v>215</v>
      </c>
      <c r="G395" s="4" t="s">
        <v>244</v>
      </c>
      <c r="H395" s="4" t="str">
        <f>VLOOKUP(A395,'Monthly EE List'!A:G,7,0)</f>
        <v>A</v>
      </c>
      <c r="J395" s="5"/>
      <c r="L395" s="4" t="str">
        <f t="shared" ca="1" si="11"/>
        <v/>
      </c>
      <c r="M395" s="6" t="str">
        <f>IF(VLOOKUP($C$4,Working!$A$23:$L$52,Working!$F$21,0)="Y",TEXT($C$6,"YYYYMM")&amp;"_"&amp;$E395&amp;"_"&amp;Working!$B$11&amp;Working!$B$12,"")</f>
        <v>201703_41601_Top15.xlsx</v>
      </c>
      <c r="N395" s="6" t="str">
        <f>IF(VLOOKUP($C$4,Working!$A$23:$L$52,Working!$I$21,0)="Y",TEXT($C$6,"YYYYMM")&amp;"_"&amp;$E395&amp;"_"&amp;Working!$B$13&amp;Working!$B$14,"")</f>
        <v/>
      </c>
      <c r="O395" s="4"/>
      <c r="P395" s="4"/>
      <c r="Q395" s="41" t="s">
        <v>228</v>
      </c>
      <c r="R395" s="41"/>
      <c r="S395" s="41"/>
      <c r="T395" s="41"/>
      <c r="U395" s="41"/>
      <c r="V395" s="4"/>
      <c r="AS395"/>
    </row>
    <row r="396" spans="1:45" x14ac:dyDescent="0.3">
      <c r="A396">
        <v>6247</v>
      </c>
      <c r="B396" s="37" t="str">
        <f>VLOOKUP(A396,'Monthly EE List'!A:D,4,0)&amp;" "&amp;VLOOKUP(A396,'Monthly EE List'!A:D,3,0)</f>
        <v>DHANSUKH CHAOHAN</v>
      </c>
      <c r="C396" s="38" t="s">
        <v>258</v>
      </c>
      <c r="D396" s="4" t="s">
        <v>599</v>
      </c>
      <c r="E396">
        <v>41604</v>
      </c>
      <c r="F396" t="s">
        <v>215</v>
      </c>
      <c r="G396" s="4" t="s">
        <v>244</v>
      </c>
      <c r="H396" s="4" t="str">
        <f>VLOOKUP(A396,'Monthly EE List'!A:G,7,0)</f>
        <v>A</v>
      </c>
      <c r="J396" s="5"/>
      <c r="L396" s="4" t="str">
        <f t="shared" ca="1" si="11"/>
        <v/>
      </c>
      <c r="M396" s="6" t="str">
        <f>IF(VLOOKUP($C$4,Working!$A$23:$L$52,Working!$F$21,0)="Y",TEXT($C$6,"YYYYMM")&amp;"_"&amp;$E396&amp;"_"&amp;Working!$B$11&amp;Working!$B$12,"")</f>
        <v>201703_41604_Top15.xlsx</v>
      </c>
      <c r="N396" s="6" t="str">
        <f>IF(VLOOKUP($C$4,Working!$A$23:$L$52,Working!$I$21,0)="Y",TEXT($C$6,"YYYYMM")&amp;"_"&amp;$E396&amp;"_"&amp;Working!$B$13&amp;Working!$B$14,"")</f>
        <v/>
      </c>
      <c r="O396" s="4"/>
      <c r="P396" s="4"/>
      <c r="Q396" s="41" t="s">
        <v>228</v>
      </c>
      <c r="R396" s="41"/>
      <c r="S396" s="41"/>
      <c r="T396" s="41"/>
      <c r="U396" s="41"/>
      <c r="V396" s="4"/>
      <c r="AS396"/>
    </row>
    <row r="397" spans="1:45" x14ac:dyDescent="0.3">
      <c r="A397">
        <v>6250</v>
      </c>
      <c r="B397" s="37" t="str">
        <f>VLOOKUP(A397,'Monthly EE List'!A:D,4,0)&amp;" "&amp;VLOOKUP(A397,'Monthly EE List'!A:D,3,0)</f>
        <v>BRIAN CUMMINGS</v>
      </c>
      <c r="C397" s="38" t="s">
        <v>253</v>
      </c>
      <c r="D397" s="4" t="s">
        <v>599</v>
      </c>
      <c r="E397">
        <v>41608</v>
      </c>
      <c r="F397" t="s">
        <v>215</v>
      </c>
      <c r="G397" s="4" t="s">
        <v>244</v>
      </c>
      <c r="H397" s="4" t="str">
        <f>VLOOKUP(A397,'Monthly EE List'!A:G,7,0)</f>
        <v>A</v>
      </c>
      <c r="J397" s="5"/>
      <c r="L397" s="4" t="str">
        <f t="shared" ca="1" si="11"/>
        <v/>
      </c>
      <c r="M397" s="6" t="str">
        <f>IF(VLOOKUP($C$4,Working!$A$23:$L$52,Working!$F$21,0)="Y",TEXT($C$6,"YYYYMM")&amp;"_"&amp;$E397&amp;"_"&amp;Working!$B$11&amp;Working!$B$12,"")</f>
        <v>201703_41608_Top15.xlsx</v>
      </c>
      <c r="N397" s="6" t="str">
        <f>IF(VLOOKUP($C$4,Working!$A$23:$L$52,Working!$I$21,0)="Y",TEXT($C$6,"YYYYMM")&amp;"_"&amp;$E397&amp;"_"&amp;Working!$B$13&amp;Working!$B$14,"")</f>
        <v/>
      </c>
      <c r="O397" s="4"/>
      <c r="P397" s="4"/>
      <c r="Q397" s="41" t="s">
        <v>228</v>
      </c>
      <c r="R397" s="41"/>
      <c r="S397" s="41"/>
      <c r="T397" s="41"/>
      <c r="U397" s="41"/>
      <c r="V397" s="4"/>
      <c r="AS397"/>
    </row>
    <row r="398" spans="1:45" x14ac:dyDescent="0.3">
      <c r="A398">
        <v>6251</v>
      </c>
      <c r="B398" s="37" t="str">
        <f>VLOOKUP(A398,'Monthly EE List'!A:D,4,0)&amp;" "&amp;VLOOKUP(A398,'Monthly EE List'!A:D,3,0)</f>
        <v>DAVID DABIDEEN</v>
      </c>
      <c r="C398" s="38" t="s">
        <v>265</v>
      </c>
      <c r="D398" s="4" t="s">
        <v>599</v>
      </c>
      <c r="E398">
        <v>41602</v>
      </c>
      <c r="F398" t="s">
        <v>215</v>
      </c>
      <c r="G398" s="4" t="s">
        <v>244</v>
      </c>
      <c r="H398" s="4" t="str">
        <f>VLOOKUP(A398,'Monthly EE List'!A:G,7,0)</f>
        <v>A</v>
      </c>
      <c r="I398" t="s">
        <v>212</v>
      </c>
      <c r="J398" s="5">
        <v>42390</v>
      </c>
      <c r="K398" t="s">
        <v>2366</v>
      </c>
      <c r="L398" s="4" t="str">
        <f t="shared" ca="1" si="11"/>
        <v/>
      </c>
      <c r="M398" s="6" t="str">
        <f>IF(VLOOKUP($C$4,Working!$A$23:$L$52,Working!$F$21,0)="Y",TEXT($C$6,"YYYYMM")&amp;"_"&amp;$E398&amp;"_"&amp;Working!$B$11&amp;Working!$B$12,"")</f>
        <v>201703_41602_Top15.xlsx</v>
      </c>
      <c r="N398" s="6" t="str">
        <f>IF(VLOOKUP($C$4,Working!$A$23:$L$52,Working!$I$21,0)="Y",TEXT($C$6,"YYYYMM")&amp;"_"&amp;$E398&amp;"_"&amp;Working!$B$13&amp;Working!$B$14,"")</f>
        <v/>
      </c>
      <c r="O398" s="4"/>
      <c r="P398" s="4"/>
      <c r="Q398" s="41" t="s">
        <v>228</v>
      </c>
      <c r="R398" s="41"/>
      <c r="S398" s="41"/>
      <c r="T398" s="41"/>
      <c r="U398" s="41"/>
      <c r="V398" s="4"/>
      <c r="AS398"/>
    </row>
    <row r="399" spans="1:45" x14ac:dyDescent="0.3">
      <c r="A399">
        <v>6255</v>
      </c>
      <c r="B399" s="37" t="str">
        <f>VLOOKUP(A399,'Monthly EE List'!A:D,4,0)&amp;" "&amp;VLOOKUP(A399,'Monthly EE List'!A:D,3,0)</f>
        <v>DOUGLAS HARVEY</v>
      </c>
      <c r="C399" s="38" t="s">
        <v>270</v>
      </c>
      <c r="D399" s="4" t="s">
        <v>599</v>
      </c>
      <c r="E399">
        <v>41611</v>
      </c>
      <c r="F399" t="s">
        <v>215</v>
      </c>
      <c r="G399" s="4" t="s">
        <v>244</v>
      </c>
      <c r="H399" s="4" t="str">
        <f>VLOOKUP(A399,'Monthly EE List'!A:G,7,0)</f>
        <v>A</v>
      </c>
      <c r="J399" s="5"/>
      <c r="L399" s="4" t="str">
        <f t="shared" ca="1" si="11"/>
        <v/>
      </c>
      <c r="M399" s="6" t="str">
        <f>IF(VLOOKUP($C$4,Working!$A$23:$L$52,Working!$F$21,0)="Y",TEXT($C$6,"YYYYMM")&amp;"_"&amp;$E399&amp;"_"&amp;Working!$B$11&amp;Working!$B$12,"")</f>
        <v>201703_41611_Top15.xlsx</v>
      </c>
      <c r="N399" s="6" t="str">
        <f>IF(VLOOKUP($C$4,Working!$A$23:$L$52,Working!$I$21,0)="Y",TEXT($C$6,"YYYYMM")&amp;"_"&amp;$E399&amp;"_"&amp;Working!$B$13&amp;Working!$B$14,"")</f>
        <v/>
      </c>
      <c r="O399" s="4"/>
      <c r="P399" s="4"/>
      <c r="Q399" s="41" t="s">
        <v>228</v>
      </c>
      <c r="R399" s="41"/>
      <c r="S399" s="41"/>
      <c r="T399" s="41"/>
      <c r="U399" s="41"/>
      <c r="V399" s="4"/>
      <c r="AS399"/>
    </row>
    <row r="400" spans="1:45" x14ac:dyDescent="0.3">
      <c r="A400">
        <v>6259</v>
      </c>
      <c r="B400" s="37" t="str">
        <f>VLOOKUP(A400,'Monthly EE List'!A:D,4,0)&amp;" "&amp;VLOOKUP(A400,'Monthly EE List'!A:D,3,0)</f>
        <v>EFREM SAMAROO</v>
      </c>
      <c r="C400" s="38" t="s">
        <v>2384</v>
      </c>
      <c r="D400" s="4" t="s">
        <v>599</v>
      </c>
      <c r="E400">
        <v>41613</v>
      </c>
      <c r="F400" t="s">
        <v>215</v>
      </c>
      <c r="G400" s="4" t="s">
        <v>244</v>
      </c>
      <c r="H400" s="4" t="str">
        <f>VLOOKUP(A400,'Monthly EE List'!A:G,7,0)</f>
        <v>A</v>
      </c>
      <c r="J400" s="5"/>
      <c r="L400" s="4" t="str">
        <f t="shared" ca="1" si="11"/>
        <v/>
      </c>
      <c r="M400" s="6" t="str">
        <f>IF(VLOOKUP($C$4,Working!$A$23:$L$52,Working!$F$21,0)="Y",TEXT($C$6,"YYYYMM")&amp;"_"&amp;$E400&amp;"_"&amp;Working!$B$11&amp;Working!$B$12,"")</f>
        <v>201703_41613_Top15.xlsx</v>
      </c>
      <c r="N400" s="6" t="str">
        <f>IF(VLOOKUP($C$4,Working!$A$23:$L$52,Working!$I$21,0)="Y",TEXT($C$6,"YYYYMM")&amp;"_"&amp;$E400&amp;"_"&amp;Working!$B$13&amp;Working!$B$14,"")</f>
        <v/>
      </c>
      <c r="O400" s="4"/>
      <c r="P400" s="4"/>
      <c r="Q400" s="41" t="s">
        <v>228</v>
      </c>
      <c r="R400" s="41"/>
      <c r="S400" s="41"/>
      <c r="T400" s="41"/>
      <c r="U400" s="41"/>
      <c r="V400" s="4"/>
      <c r="AS400"/>
    </row>
    <row r="401" spans="1:45" x14ac:dyDescent="0.3">
      <c r="A401">
        <v>6270</v>
      </c>
      <c r="B401" s="37" t="str">
        <f>VLOOKUP(A401,'Monthly EE List'!A:D,4,0)&amp;" "&amp;VLOOKUP(A401,'Monthly EE List'!A:D,3,0)</f>
        <v>CHRISTY ADAMSKI</v>
      </c>
      <c r="C401" s="38" t="s">
        <v>486</v>
      </c>
      <c r="D401" s="4" t="s">
        <v>599</v>
      </c>
      <c r="E401" t="s">
        <v>193</v>
      </c>
      <c r="F401" t="s">
        <v>215</v>
      </c>
      <c r="G401" s="4" t="s">
        <v>142</v>
      </c>
      <c r="H401" s="4" t="str">
        <f>VLOOKUP(A401,'Monthly EE List'!A:G,7,0)</f>
        <v>A</v>
      </c>
      <c r="J401" s="5"/>
      <c r="L401" s="4" t="str">
        <f t="shared" ca="1" si="11"/>
        <v/>
      </c>
      <c r="M401" s="6" t="str">
        <f>IF(VLOOKUP($C$4,Working!$A$23:$L$52,Working!$F$21,0)="Y",TEXT($C$6,"YYYYMM")&amp;"_"&amp;$E401&amp;"_"&amp;Working!$B$11&amp;Working!$B$12,"")</f>
        <v>201703_CZ1VL_Top15.xlsx</v>
      </c>
      <c r="N401" s="6" t="str">
        <f>IF(VLOOKUP($C$4,Working!$A$23:$L$52,Working!$I$21,0)="Y",TEXT($C$6,"YYYYMM")&amp;"_"&amp;$E401&amp;"_"&amp;Working!$B$13&amp;Working!$B$14,"")</f>
        <v/>
      </c>
      <c r="O401" s="4" t="s">
        <v>228</v>
      </c>
      <c r="P401" s="4" t="s">
        <v>228</v>
      </c>
      <c r="Q401" s="41"/>
      <c r="R401" s="41"/>
      <c r="S401" s="41"/>
      <c r="T401" s="41"/>
      <c r="U401" s="41" t="s">
        <v>228</v>
      </c>
      <c r="V401" s="54"/>
      <c r="AS401"/>
    </row>
    <row r="402" spans="1:45" x14ac:dyDescent="0.3">
      <c r="A402">
        <v>6271</v>
      </c>
      <c r="B402" s="37" t="str">
        <f>VLOOKUP(A402,'Monthly EE List'!A:D,4,0)&amp;" "&amp;VLOOKUP(A402,'Monthly EE List'!A:D,3,0)</f>
        <v>JENNIFER ADAMSKI</v>
      </c>
      <c r="C402" s="38" t="s">
        <v>487</v>
      </c>
      <c r="D402" s="4" t="s">
        <v>599</v>
      </c>
      <c r="E402" t="s">
        <v>194</v>
      </c>
      <c r="F402" t="s">
        <v>215</v>
      </c>
      <c r="G402" s="4" t="s">
        <v>142</v>
      </c>
      <c r="H402" s="4" t="str">
        <f>VLOOKUP(A402,'Monthly EE List'!A:G,7,0)</f>
        <v>A</v>
      </c>
      <c r="J402" s="5"/>
      <c r="L402" s="4" t="str">
        <f t="shared" ca="1" si="11"/>
        <v/>
      </c>
      <c r="M402" s="6" t="str">
        <f>IF(VLOOKUP($C$4,Working!$A$23:$L$52,Working!$F$21,0)="Y",TEXT($C$6,"YYYYMM")&amp;"_"&amp;$E402&amp;"_"&amp;Working!$B$11&amp;Working!$B$12,"")</f>
        <v>201703_CZ1VK_Top15.xlsx</v>
      </c>
      <c r="N402" s="6" t="str">
        <f>IF(VLOOKUP($C$4,Working!$A$23:$L$52,Working!$I$21,0)="Y",TEXT($C$6,"YYYYMM")&amp;"_"&amp;$E402&amp;"_"&amp;Working!$B$13&amp;Working!$B$14,"")</f>
        <v/>
      </c>
      <c r="O402" s="4" t="s">
        <v>228</v>
      </c>
      <c r="P402" s="4" t="s">
        <v>228</v>
      </c>
      <c r="Q402" s="41"/>
      <c r="R402" s="41"/>
      <c r="S402" s="41"/>
      <c r="T402" s="41"/>
      <c r="U402" s="41" t="s">
        <v>228</v>
      </c>
      <c r="V402" s="54"/>
      <c r="AS402"/>
    </row>
    <row r="403" spans="1:45" x14ac:dyDescent="0.3">
      <c r="A403">
        <v>6272</v>
      </c>
      <c r="B403" s="37" t="str">
        <f>VLOOKUP(A403,'Monthly EE List'!A:D,4,0)&amp;" "&amp;VLOOKUP(A403,'Monthly EE List'!A:D,3,0)</f>
        <v>JOHN ADAMSKI</v>
      </c>
      <c r="C403" s="38" t="s">
        <v>488</v>
      </c>
      <c r="D403" s="4" t="s">
        <v>599</v>
      </c>
      <c r="E403" t="s">
        <v>195</v>
      </c>
      <c r="F403" t="s">
        <v>215</v>
      </c>
      <c r="G403" s="4" t="s">
        <v>142</v>
      </c>
      <c r="H403" s="4" t="str">
        <f>VLOOKUP(A403,'Monthly EE List'!A:G,7,0)</f>
        <v>A</v>
      </c>
      <c r="J403" s="5"/>
      <c r="L403" s="4" t="str">
        <f t="shared" ca="1" si="11"/>
        <v/>
      </c>
      <c r="M403" s="6" t="str">
        <f>IF(VLOOKUP($C$4,Working!$A$23:$L$52,Working!$F$21,0)="Y",TEXT($C$6,"YYYYMM")&amp;"_"&amp;$E403&amp;"_"&amp;Working!$B$11&amp;Working!$B$12,"")</f>
        <v>201703_CZ1LR_Top15.xlsx</v>
      </c>
      <c r="N403" s="6" t="str">
        <f>IF(VLOOKUP($C$4,Working!$A$23:$L$52,Working!$I$21,0)="Y",TEXT($C$6,"YYYYMM")&amp;"_"&amp;$E403&amp;"_"&amp;Working!$B$13&amp;Working!$B$14,"")</f>
        <v/>
      </c>
      <c r="O403" s="4" t="s">
        <v>228</v>
      </c>
      <c r="P403" s="4" t="s">
        <v>228</v>
      </c>
      <c r="Q403" s="41"/>
      <c r="R403" s="41"/>
      <c r="S403" s="41"/>
      <c r="T403" s="41"/>
      <c r="U403" s="41" t="s">
        <v>228</v>
      </c>
      <c r="V403" s="54"/>
      <c r="AS403"/>
    </row>
    <row r="404" spans="1:45" x14ac:dyDescent="0.3">
      <c r="A404">
        <v>6273</v>
      </c>
      <c r="B404" s="37" t="str">
        <f>VLOOKUP(A404,'Monthly EE List'!A:D,4,0)&amp;" "&amp;VLOOKUP(A404,'Monthly EE List'!A:D,3,0)</f>
        <v>RICHARD BAXTER</v>
      </c>
      <c r="C404" s="38" t="s">
        <v>489</v>
      </c>
      <c r="D404" s="4" t="s">
        <v>599</v>
      </c>
      <c r="E404" t="s">
        <v>196</v>
      </c>
      <c r="F404" t="s">
        <v>215</v>
      </c>
      <c r="G404" s="4" t="s">
        <v>142</v>
      </c>
      <c r="H404" s="4" t="str">
        <f>VLOOKUP(A404,'Monthly EE List'!A:G,7,0)</f>
        <v>A</v>
      </c>
      <c r="J404" s="5"/>
      <c r="L404" s="4" t="str">
        <f t="shared" ca="1" si="11"/>
        <v/>
      </c>
      <c r="M404" s="6" t="str">
        <f>IF(VLOOKUP($C$4,Working!$A$23:$L$52,Working!$F$21,0)="Y",TEXT($C$6,"YYYYMM")&amp;"_"&amp;$E404&amp;"_"&amp;Working!$B$11&amp;Working!$B$12,"")</f>
        <v>201703_CZ1UV_Top15.xlsx</v>
      </c>
      <c r="N404" s="6" t="str">
        <f>IF(VLOOKUP($C$4,Working!$A$23:$L$52,Working!$I$21,0)="Y",TEXT($C$6,"YYYYMM")&amp;"_"&amp;$E404&amp;"_"&amp;Working!$B$13&amp;Working!$B$14,"")</f>
        <v/>
      </c>
      <c r="O404" s="4" t="s">
        <v>228</v>
      </c>
      <c r="P404" s="4" t="s">
        <v>228</v>
      </c>
      <c r="Q404" s="41"/>
      <c r="R404" s="41"/>
      <c r="S404" s="41"/>
      <c r="T404" s="41"/>
      <c r="U404" s="41" t="s">
        <v>228</v>
      </c>
      <c r="V404" s="54"/>
      <c r="AS404"/>
    </row>
    <row r="405" spans="1:45" x14ac:dyDescent="0.3">
      <c r="A405">
        <v>6279</v>
      </c>
      <c r="B405" s="37" t="str">
        <f>VLOOKUP(A405,'Monthly EE List'!A:D,4,0)&amp;" "&amp;VLOOKUP(A405,'Monthly EE List'!A:D,3,0)</f>
        <v>FRANK CLUMPUS</v>
      </c>
      <c r="C405" s="38" t="s">
        <v>491</v>
      </c>
      <c r="D405" s="4" t="s">
        <v>599</v>
      </c>
      <c r="E405" t="s">
        <v>198</v>
      </c>
      <c r="F405" t="s">
        <v>215</v>
      </c>
      <c r="G405" s="4" t="s">
        <v>142</v>
      </c>
      <c r="H405" s="4" t="str">
        <f>VLOOKUP(A405,'Monthly EE List'!A:G,7,0)</f>
        <v>A</v>
      </c>
      <c r="I405" t="s">
        <v>212</v>
      </c>
      <c r="J405" s="5">
        <v>41439</v>
      </c>
      <c r="K405" t="s">
        <v>2866</v>
      </c>
      <c r="L405" s="4" t="str">
        <f t="shared" ca="1" si="11"/>
        <v/>
      </c>
      <c r="M405" s="6" t="str">
        <f>IF(VLOOKUP($C$4,Working!$A$23:$L$52,Working!$F$21,0)="Y",TEXT($C$6,"YYYYMM")&amp;"_"&amp;$E405&amp;"_"&amp;Working!$B$11&amp;Working!$B$12,"")</f>
        <v>201703_CZ1WV_Top15.xlsx</v>
      </c>
      <c r="N405" s="6" t="str">
        <f>IF(VLOOKUP($C$4,Working!$A$23:$L$52,Working!$I$21,0)="Y",TEXT($C$6,"YYYYMM")&amp;"_"&amp;$E405&amp;"_"&amp;Working!$B$13&amp;Working!$B$14,"")</f>
        <v/>
      </c>
      <c r="O405" s="4" t="s">
        <v>228</v>
      </c>
      <c r="P405" s="4" t="s">
        <v>228</v>
      </c>
      <c r="Q405" s="41"/>
      <c r="R405" s="41"/>
      <c r="S405" s="41"/>
      <c r="T405" s="41"/>
      <c r="U405" s="41" t="s">
        <v>228</v>
      </c>
      <c r="V405" s="54"/>
      <c r="AS405"/>
    </row>
    <row r="406" spans="1:45" x14ac:dyDescent="0.3">
      <c r="A406">
        <v>6280</v>
      </c>
      <c r="B406" s="37" t="str">
        <f>VLOOKUP(A406,'Monthly EE List'!A:D,4,0)&amp;" "&amp;VLOOKUP(A406,'Monthly EE List'!A:D,3,0)</f>
        <v>KENNETH CRONEY</v>
      </c>
      <c r="C406" s="38" t="s">
        <v>2379</v>
      </c>
      <c r="D406" s="4" t="s">
        <v>599</v>
      </c>
      <c r="E406" t="s">
        <v>2424</v>
      </c>
      <c r="F406" t="s">
        <v>215</v>
      </c>
      <c r="G406" s="4" t="s">
        <v>142</v>
      </c>
      <c r="H406" s="4" t="str">
        <f>VLOOKUP(A406,'Monthly EE List'!A:G,7,0)</f>
        <v>A</v>
      </c>
      <c r="I406" t="s">
        <v>211</v>
      </c>
      <c r="J406" s="5">
        <v>40837</v>
      </c>
      <c r="K406" t="s">
        <v>2617</v>
      </c>
      <c r="L406" s="4" t="str">
        <f t="shared" ca="1" si="11"/>
        <v/>
      </c>
      <c r="M406" s="6" t="str">
        <f>IF(VLOOKUP($C$4,Working!$A$23:$L$52,Working!$F$21,0)="Y",TEXT($C$6,"YYYYMM")&amp;"_"&amp;$E406&amp;"_"&amp;Working!$B$11&amp;Working!$B$12,"")</f>
        <v>201703_CZ4KC_Top15.xlsx</v>
      </c>
      <c r="N406" s="6" t="str">
        <f>IF(VLOOKUP($C$4,Working!$A$23:$L$52,Working!$I$21,0)="Y",TEXT($C$6,"YYYYMM")&amp;"_"&amp;$E406&amp;"_"&amp;Working!$B$13&amp;Working!$B$14,"")</f>
        <v/>
      </c>
      <c r="O406" s="4" t="s">
        <v>228</v>
      </c>
      <c r="P406" s="54"/>
      <c r="Q406" s="41"/>
      <c r="R406" s="41"/>
      <c r="S406" s="41"/>
      <c r="T406" s="41"/>
      <c r="U406" s="65"/>
      <c r="V406" s="4"/>
      <c r="AS406"/>
    </row>
    <row r="407" spans="1:45" x14ac:dyDescent="0.3">
      <c r="A407">
        <v>6281</v>
      </c>
      <c r="B407" s="37" t="str">
        <f>VLOOKUP(A407,'Monthly EE List'!A:D,4,0)&amp;" "&amp;VLOOKUP(A407,'Monthly EE List'!A:D,3,0)</f>
        <v>CHRIS DYNES</v>
      </c>
      <c r="C407" s="38" t="s">
        <v>492</v>
      </c>
      <c r="D407" s="4" t="s">
        <v>599</v>
      </c>
      <c r="E407" t="s">
        <v>199</v>
      </c>
      <c r="F407" t="s">
        <v>215</v>
      </c>
      <c r="G407" s="4" t="s">
        <v>142</v>
      </c>
      <c r="H407" s="4" t="str">
        <f>VLOOKUP(A407,'Monthly EE List'!A:G,7,0)</f>
        <v>A</v>
      </c>
      <c r="J407" s="5"/>
      <c r="L407" s="4" t="str">
        <f t="shared" ca="1" si="11"/>
        <v/>
      </c>
      <c r="M407" s="6" t="str">
        <f>IF(VLOOKUP($C$4,Working!$A$23:$L$52,Working!$F$21,0)="Y",TEXT($C$6,"YYYYMM")&amp;"_"&amp;$E407&amp;"_"&amp;Working!$B$11&amp;Working!$B$12,"")</f>
        <v>201703_CZ1UO_Top15.xlsx</v>
      </c>
      <c r="N407" s="6" t="str">
        <f>IF(VLOOKUP($C$4,Working!$A$23:$L$52,Working!$I$21,0)="Y",TEXT($C$6,"YYYYMM")&amp;"_"&amp;$E407&amp;"_"&amp;Working!$B$13&amp;Working!$B$14,"")</f>
        <v/>
      </c>
      <c r="O407" s="4" t="s">
        <v>228</v>
      </c>
      <c r="P407" s="4" t="s">
        <v>228</v>
      </c>
      <c r="Q407" s="41"/>
      <c r="R407" s="41"/>
      <c r="S407" s="41"/>
      <c r="T407" s="41"/>
      <c r="U407" s="4" t="s">
        <v>228</v>
      </c>
      <c r="V407" s="54"/>
      <c r="AS407"/>
    </row>
    <row r="408" spans="1:45" x14ac:dyDescent="0.3">
      <c r="A408">
        <v>6283</v>
      </c>
      <c r="B408" s="37" t="str">
        <f>VLOOKUP(A408,'Monthly EE List'!A:D,4,0)&amp;" "&amp;VLOOKUP(A408,'Monthly EE List'!A:D,3,0)</f>
        <v>MICHAEL KING</v>
      </c>
      <c r="C408" s="38" t="s">
        <v>493</v>
      </c>
      <c r="D408" s="4" t="s">
        <v>599</v>
      </c>
      <c r="E408" t="s">
        <v>200</v>
      </c>
      <c r="F408" t="s">
        <v>215</v>
      </c>
      <c r="G408" s="4" t="s">
        <v>142</v>
      </c>
      <c r="H408" s="4" t="str">
        <f>VLOOKUP(A408,'Monthly EE List'!A:G,7,0)</f>
        <v>A</v>
      </c>
      <c r="J408" s="5">
        <v>41927</v>
      </c>
      <c r="K408" t="s">
        <v>567</v>
      </c>
      <c r="L408" s="4" t="str">
        <f t="shared" ca="1" si="11"/>
        <v/>
      </c>
      <c r="M408" s="6" t="str">
        <f>IF(VLOOKUP($C$4,Working!$A$23:$L$52,Working!$F$21,0)="Y",TEXT($C$6,"YYYYMM")&amp;"_"&amp;$E408&amp;"_"&amp;Working!$B$11&amp;Working!$B$12,"")</f>
        <v>201703_CZ1XC_Top15.xlsx</v>
      </c>
      <c r="N408" s="6" t="str">
        <f>IF(VLOOKUP($C$4,Working!$A$23:$L$52,Working!$I$21,0)="Y",TEXT($C$6,"YYYYMM")&amp;"_"&amp;$E408&amp;"_"&amp;Working!$B$13&amp;Working!$B$14,"")</f>
        <v/>
      </c>
      <c r="O408" s="4" t="s">
        <v>228</v>
      </c>
      <c r="P408" s="4" t="s">
        <v>228</v>
      </c>
      <c r="Q408" s="41"/>
      <c r="R408" s="41"/>
      <c r="S408" s="41"/>
      <c r="T408" s="41"/>
      <c r="U408" s="41" t="s">
        <v>228</v>
      </c>
      <c r="V408" s="54"/>
      <c r="AS408"/>
    </row>
    <row r="409" spans="1:45" x14ac:dyDescent="0.3">
      <c r="A409">
        <v>6284</v>
      </c>
      <c r="B409" s="37" t="str">
        <f>VLOOKUP(A409,'Monthly EE List'!A:D,4,0)&amp;" "&amp;VLOOKUP(A409,'Monthly EE List'!A:D,3,0)</f>
        <v>LESLIE KRAVITZ</v>
      </c>
      <c r="C409" s="38" t="s">
        <v>2380</v>
      </c>
      <c r="D409" s="4" t="s">
        <v>599</v>
      </c>
      <c r="E409" t="s">
        <v>202</v>
      </c>
      <c r="F409" t="s">
        <v>215</v>
      </c>
      <c r="G409" s="4" t="s">
        <v>142</v>
      </c>
      <c r="H409" s="4" t="str">
        <f>VLOOKUP(A409,'Monthly EE List'!A:G,7,0)</f>
        <v>A</v>
      </c>
      <c r="J409" s="5"/>
      <c r="L409" s="4" t="str">
        <f t="shared" ca="1" si="11"/>
        <v/>
      </c>
      <c r="M409" s="6" t="str">
        <f>IF(VLOOKUP($C$4,Working!$A$23:$L$52,Working!$F$21,0)="Y",TEXT($C$6,"YYYYMM")&amp;"_"&amp;$E409&amp;"_"&amp;Working!$B$11&amp;Working!$B$12,"")</f>
        <v>201703_CZ1YN_Top15.xlsx</v>
      </c>
      <c r="N409" s="6" t="str">
        <f>IF(VLOOKUP($C$4,Working!$A$23:$L$52,Working!$I$21,0)="Y",TEXT($C$6,"YYYYMM")&amp;"_"&amp;$E409&amp;"_"&amp;Working!$B$13&amp;Working!$B$14,"")</f>
        <v/>
      </c>
      <c r="O409" s="4" t="s">
        <v>228</v>
      </c>
      <c r="P409" s="4" t="s">
        <v>228</v>
      </c>
      <c r="Q409" s="41"/>
      <c r="R409" s="41"/>
      <c r="S409" s="41"/>
      <c r="T409" s="41"/>
      <c r="U409" s="4" t="s">
        <v>228</v>
      </c>
      <c r="V409" s="54"/>
      <c r="AS409"/>
    </row>
    <row r="410" spans="1:45" x14ac:dyDescent="0.3">
      <c r="A410">
        <v>6285</v>
      </c>
      <c r="B410" s="37" t="str">
        <f>VLOOKUP(A410,'Monthly EE List'!A:D,4,0)&amp;" "&amp;VLOOKUP(A410,'Monthly EE List'!A:D,3,0)</f>
        <v>MARK MCCALLUM</v>
      </c>
      <c r="C410" s="38" t="s">
        <v>494</v>
      </c>
      <c r="D410" s="4" t="s">
        <v>599</v>
      </c>
      <c r="E410" t="s">
        <v>203</v>
      </c>
      <c r="F410" t="s">
        <v>215</v>
      </c>
      <c r="G410" s="4" t="s">
        <v>142</v>
      </c>
      <c r="H410" s="4" t="str">
        <f>VLOOKUP(A410,'Monthly EE List'!A:G,7,0)</f>
        <v>A</v>
      </c>
      <c r="J410" s="5"/>
      <c r="L410" s="4" t="str">
        <f t="shared" ca="1" si="11"/>
        <v/>
      </c>
      <c r="M410" s="6" t="str">
        <f>IF(VLOOKUP($C$4,Working!$A$23:$L$52,Working!$F$21,0)="Y",TEXT($C$6,"YYYYMM")&amp;"_"&amp;$E410&amp;"_"&amp;Working!$B$11&amp;Working!$B$12,"")</f>
        <v>201703_CZ1UI_Top15.xlsx</v>
      </c>
      <c r="N410" s="6" t="str">
        <f>IF(VLOOKUP($C$4,Working!$A$23:$L$52,Working!$I$21,0)="Y",TEXT($C$6,"YYYYMM")&amp;"_"&amp;$E410&amp;"_"&amp;Working!$B$13&amp;Working!$B$14,"")</f>
        <v/>
      </c>
      <c r="O410" s="4" t="s">
        <v>228</v>
      </c>
      <c r="P410" s="4" t="s">
        <v>228</v>
      </c>
      <c r="Q410" s="41"/>
      <c r="R410" s="41"/>
      <c r="S410" s="41"/>
      <c r="T410" s="41"/>
      <c r="U410" s="41" t="s">
        <v>228</v>
      </c>
      <c r="V410" s="54"/>
      <c r="AS410"/>
    </row>
    <row r="411" spans="1:45" x14ac:dyDescent="0.3">
      <c r="A411">
        <v>6289</v>
      </c>
      <c r="B411" s="37" t="str">
        <f>VLOOKUP(A411,'Monthly EE List'!A:D,4,0)&amp;" "&amp;VLOOKUP(A411,'Monthly EE List'!A:D,3,0)</f>
        <v>JANET NOEL</v>
      </c>
      <c r="C411" s="38" t="s">
        <v>495</v>
      </c>
      <c r="D411" s="4" t="s">
        <v>599</v>
      </c>
      <c r="E411" t="s">
        <v>204</v>
      </c>
      <c r="F411" t="s">
        <v>215</v>
      </c>
      <c r="G411" s="4" t="s">
        <v>142</v>
      </c>
      <c r="H411" s="4" t="str">
        <f>VLOOKUP(A411,'Monthly EE List'!A:G,7,0)</f>
        <v>A</v>
      </c>
      <c r="J411" s="5"/>
      <c r="L411" s="4" t="str">
        <f t="shared" ca="1" si="11"/>
        <v/>
      </c>
      <c r="M411" s="6" t="str">
        <f>IF(VLOOKUP($C$4,Working!$A$23:$L$52,Working!$F$21,0)="Y",TEXT($C$6,"YYYYMM")&amp;"_"&amp;$E411&amp;"_"&amp;Working!$B$11&amp;Working!$B$12,"")</f>
        <v>201703_CZ1UU_Top15.xlsx</v>
      </c>
      <c r="N411" s="6" t="str">
        <f>IF(VLOOKUP($C$4,Working!$A$23:$L$52,Working!$I$21,0)="Y",TEXT($C$6,"YYYYMM")&amp;"_"&amp;$E411&amp;"_"&amp;Working!$B$13&amp;Working!$B$14,"")</f>
        <v/>
      </c>
      <c r="O411" s="4" t="s">
        <v>228</v>
      </c>
      <c r="P411" s="4" t="s">
        <v>228</v>
      </c>
      <c r="Q411" s="41"/>
      <c r="R411" s="41"/>
      <c r="S411" s="41"/>
      <c r="T411" s="41"/>
      <c r="U411" s="41" t="s">
        <v>228</v>
      </c>
      <c r="V411" s="54"/>
      <c r="AS411"/>
    </row>
    <row r="412" spans="1:45" x14ac:dyDescent="0.3">
      <c r="A412">
        <v>6290</v>
      </c>
      <c r="B412" s="37" t="str">
        <f>VLOOKUP(A412,'Monthly EE List'!A:D,4,0)&amp;" "&amp;VLOOKUP(A412,'Monthly EE List'!A:D,3,0)</f>
        <v>THOMAS PLATT</v>
      </c>
      <c r="C412" s="38" t="s">
        <v>496</v>
      </c>
      <c r="D412" s="4" t="s">
        <v>599</v>
      </c>
      <c r="E412" t="s">
        <v>205</v>
      </c>
      <c r="F412" t="s">
        <v>215</v>
      </c>
      <c r="G412" s="4" t="s">
        <v>142</v>
      </c>
      <c r="H412" s="4" t="str">
        <f>VLOOKUP(A412,'Monthly EE List'!A:G,7,0)</f>
        <v>A</v>
      </c>
      <c r="J412" s="5"/>
      <c r="L412" s="4" t="str">
        <f t="shared" ca="1" si="11"/>
        <v/>
      </c>
      <c r="M412" s="6" t="str">
        <f>IF(VLOOKUP($C$4,Working!$A$23:$L$52,Working!$F$21,0)="Y",TEXT($C$6,"YYYYMM")&amp;"_"&amp;$E412&amp;"_"&amp;Working!$B$11&amp;Working!$B$12,"")</f>
        <v>201703_CZ1UW_Top15.xlsx</v>
      </c>
      <c r="N412" s="6" t="str">
        <f>IF(VLOOKUP($C$4,Working!$A$23:$L$52,Working!$I$21,0)="Y",TEXT($C$6,"YYYYMM")&amp;"_"&amp;$E412&amp;"_"&amp;Working!$B$13&amp;Working!$B$14,"")</f>
        <v/>
      </c>
      <c r="O412" s="4" t="s">
        <v>228</v>
      </c>
      <c r="P412" s="4" t="s">
        <v>228</v>
      </c>
      <c r="Q412" s="41"/>
      <c r="R412" s="41"/>
      <c r="S412" s="41"/>
      <c r="T412" s="41"/>
      <c r="U412" s="41" t="s">
        <v>228</v>
      </c>
      <c r="V412" s="54"/>
      <c r="AS412"/>
    </row>
    <row r="413" spans="1:45" x14ac:dyDescent="0.3">
      <c r="A413">
        <v>6291</v>
      </c>
      <c r="B413" s="37" t="str">
        <f>VLOOKUP(A413,'Monthly EE List'!A:D,4,0)&amp;" "&amp;VLOOKUP(A413,'Monthly EE List'!A:D,3,0)</f>
        <v>EDDIE RISI</v>
      </c>
      <c r="C413" s="38" t="s">
        <v>497</v>
      </c>
      <c r="D413" s="4" t="s">
        <v>599</v>
      </c>
      <c r="E413" t="s">
        <v>206</v>
      </c>
      <c r="F413" t="s">
        <v>215</v>
      </c>
      <c r="G413" s="4" t="s">
        <v>142</v>
      </c>
      <c r="H413" s="4" t="str">
        <f>VLOOKUP(A413,'Monthly EE List'!A:G,7,0)</f>
        <v>A</v>
      </c>
      <c r="J413" s="5"/>
      <c r="L413" s="4" t="str">
        <f t="shared" ca="1" si="11"/>
        <v/>
      </c>
      <c r="M413" s="6" t="str">
        <f>IF(VLOOKUP($C$4,Working!$A$23:$L$52,Working!$F$21,0)="Y",TEXT($C$6,"YYYYMM")&amp;"_"&amp;$E413&amp;"_"&amp;Working!$B$11&amp;Working!$B$12,"")</f>
        <v>201703_CZ1VC_Top15.xlsx</v>
      </c>
      <c r="N413" s="6" t="str">
        <f>IF(VLOOKUP($C$4,Working!$A$23:$L$52,Working!$I$21,0)="Y",TEXT($C$6,"YYYYMM")&amp;"_"&amp;$E413&amp;"_"&amp;Working!$B$13&amp;Working!$B$14,"")</f>
        <v/>
      </c>
      <c r="O413" s="4" t="s">
        <v>228</v>
      </c>
      <c r="P413" s="4" t="s">
        <v>228</v>
      </c>
      <c r="Q413" s="41"/>
      <c r="R413" s="41"/>
      <c r="S413" s="41"/>
      <c r="T413" s="41"/>
      <c r="U413" s="41" t="s">
        <v>228</v>
      </c>
      <c r="V413" s="54"/>
      <c r="AS413"/>
    </row>
    <row r="414" spans="1:45" x14ac:dyDescent="0.3">
      <c r="A414">
        <v>6292</v>
      </c>
      <c r="B414" s="37" t="str">
        <f>VLOOKUP(A414,'Monthly EE List'!A:D,4,0)&amp;" "&amp;VLOOKUP(A414,'Monthly EE List'!A:D,3,0)</f>
        <v>GILDA WAINWRIGHT</v>
      </c>
      <c r="C414" s="38" t="s">
        <v>498</v>
      </c>
      <c r="D414" s="4" t="s">
        <v>599</v>
      </c>
      <c r="E414" t="s">
        <v>207</v>
      </c>
      <c r="F414" t="s">
        <v>215</v>
      </c>
      <c r="G414" s="4" t="s">
        <v>142</v>
      </c>
      <c r="H414" s="4" t="str">
        <f>VLOOKUP(A414,'Monthly EE List'!A:G,7,0)</f>
        <v>A</v>
      </c>
      <c r="J414" s="5"/>
      <c r="L414" s="4" t="str">
        <f t="shared" ca="1" si="11"/>
        <v/>
      </c>
      <c r="M414" s="6" t="str">
        <f>IF(VLOOKUP($C$4,Working!$A$23:$L$52,Working!$F$21,0)="Y",TEXT($C$6,"YYYYMM")&amp;"_"&amp;$E414&amp;"_"&amp;Working!$B$11&amp;Working!$B$12,"")</f>
        <v>201703_CZ1UX_Top15.xlsx</v>
      </c>
      <c r="N414" s="6" t="str">
        <f>IF(VLOOKUP($C$4,Working!$A$23:$L$52,Working!$I$21,0)="Y",TEXT($C$6,"YYYYMM")&amp;"_"&amp;$E414&amp;"_"&amp;Working!$B$13&amp;Working!$B$14,"")</f>
        <v/>
      </c>
      <c r="O414" s="4" t="s">
        <v>228</v>
      </c>
      <c r="P414" s="4" t="s">
        <v>228</v>
      </c>
      <c r="Q414" s="41"/>
      <c r="R414" s="41"/>
      <c r="S414" s="41"/>
      <c r="T414" s="41"/>
      <c r="U414" s="41" t="s">
        <v>228</v>
      </c>
      <c r="V414" s="54"/>
      <c r="AS414"/>
    </row>
    <row r="415" spans="1:45" x14ac:dyDescent="0.3">
      <c r="A415">
        <v>6294</v>
      </c>
      <c r="B415" s="37" t="str">
        <f>VLOOKUP(A415,'Monthly EE List'!A:D,4,0)&amp;" "&amp;VLOOKUP(A415,'Monthly EE List'!A:D,3,0)</f>
        <v>JOHN_PETER WISTOSKI</v>
      </c>
      <c r="C415" s="38" t="s">
        <v>500</v>
      </c>
      <c r="D415" s="4" t="s">
        <v>599</v>
      </c>
      <c r="E415" t="s">
        <v>209</v>
      </c>
      <c r="F415" t="s">
        <v>215</v>
      </c>
      <c r="G415" s="4" t="s">
        <v>142</v>
      </c>
      <c r="H415" s="4" t="str">
        <f>VLOOKUP(A415,'Monthly EE List'!A:G,7,0)</f>
        <v>A</v>
      </c>
      <c r="I415" t="s">
        <v>212</v>
      </c>
      <c r="J415" s="5">
        <v>41074</v>
      </c>
      <c r="K415" t="s">
        <v>567</v>
      </c>
      <c r="L415" s="4" t="str">
        <f t="shared" ca="1" si="11"/>
        <v/>
      </c>
      <c r="M415" s="6" t="str">
        <f>IF(VLOOKUP($C$4,Working!$A$23:$L$52,Working!$F$21,0)="Y",TEXT($C$6,"YYYYMM")&amp;"_"&amp;$E415&amp;"_"&amp;Working!$B$11&amp;Working!$B$12,"")</f>
        <v>201703_CZ1UZ_Top15.xlsx</v>
      </c>
      <c r="N415" s="6" t="str">
        <f>IF(VLOOKUP($C$4,Working!$A$23:$L$52,Working!$I$21,0)="Y",TEXT($C$6,"YYYYMM")&amp;"_"&amp;$E415&amp;"_"&amp;Working!$B$13&amp;Working!$B$14,"")</f>
        <v/>
      </c>
      <c r="O415" s="4" t="s">
        <v>228</v>
      </c>
      <c r="P415" s="4" t="s">
        <v>228</v>
      </c>
      <c r="Q415" s="41"/>
      <c r="R415" s="41"/>
      <c r="S415" s="41"/>
      <c r="T415" s="41"/>
      <c r="U415" s="41" t="s">
        <v>228</v>
      </c>
      <c r="V415" s="54"/>
      <c r="AS415"/>
    </row>
    <row r="416" spans="1:45" x14ac:dyDescent="0.3">
      <c r="A416" s="10">
        <v>6328</v>
      </c>
      <c r="B416" s="37" t="str">
        <f>VLOOKUP(A416,'Monthly EE List'!A:D,4,0)&amp;" "&amp;VLOOKUP(A416,'Monthly EE List'!A:D,3,0)</f>
        <v>BARBARA BROWN</v>
      </c>
      <c r="C416" s="38" t="s">
        <v>2862</v>
      </c>
      <c r="D416" s="4" t="s">
        <v>599</v>
      </c>
      <c r="E416" t="s">
        <v>2864</v>
      </c>
      <c r="F416" t="s">
        <v>2864</v>
      </c>
      <c r="G416" s="4" t="s">
        <v>2715</v>
      </c>
      <c r="H416" s="4" t="str">
        <f>VLOOKUP(A416,'Monthly EE List'!A:G,7,0)</f>
        <v>A</v>
      </c>
      <c r="I416" t="s">
        <v>211</v>
      </c>
      <c r="J416" s="5">
        <v>41191</v>
      </c>
      <c r="K416" t="s">
        <v>2716</v>
      </c>
      <c r="L416" s="4" t="str">
        <f t="shared" ca="1" si="11"/>
        <v>X</v>
      </c>
      <c r="M416" s="6" t="str">
        <f>IF(VLOOKUP($C$4,Working!$A$23:$L$52,Working!$F$21,0)="Y",TEXT($C$6,"YYYYMM")&amp;"_"&amp;$E416&amp;"_"&amp;Working!$B$11&amp;Working!$B$12,"")</f>
        <v>201703_Zahn_Top15.xlsx</v>
      </c>
      <c r="N416" s="6" t="str">
        <f>IF(VLOOKUP($C$4,Working!$A$23:$L$52,Working!$I$21,0)="Y",TEXT($C$6,"YYYYMM")&amp;"_"&amp;$E416&amp;"_"&amp;Working!$B$13&amp;Working!$B$14,"")</f>
        <v/>
      </c>
      <c r="O416" s="4"/>
      <c r="P416" s="4"/>
      <c r="Q416" s="41"/>
      <c r="R416" s="41"/>
      <c r="S416" s="41"/>
      <c r="T416" s="41"/>
      <c r="U416" s="4"/>
      <c r="V416" s="4"/>
      <c r="W416" s="4" t="s">
        <v>228</v>
      </c>
      <c r="AS416"/>
    </row>
    <row r="417" spans="1:45" x14ac:dyDescent="0.3">
      <c r="A417">
        <v>6406</v>
      </c>
      <c r="B417" s="37" t="str">
        <f>VLOOKUP(A417,'Monthly EE List'!A:D,4,0)&amp;" "&amp;VLOOKUP(A417,'Monthly EE List'!A:D,3,0)</f>
        <v>JAMES FYLES</v>
      </c>
      <c r="C417" s="38" t="s">
        <v>283</v>
      </c>
      <c r="D417" s="4" t="s">
        <v>599</v>
      </c>
      <c r="E417">
        <v>41618</v>
      </c>
      <c r="F417" t="s">
        <v>215</v>
      </c>
      <c r="G417" s="4" t="s">
        <v>244</v>
      </c>
      <c r="H417" s="4" t="str">
        <f>VLOOKUP(A417,'Monthly EE List'!A:G,7,0)</f>
        <v>A</v>
      </c>
      <c r="I417" t="s">
        <v>212</v>
      </c>
      <c r="J417" s="5">
        <v>41754</v>
      </c>
      <c r="K417" t="s">
        <v>2366</v>
      </c>
      <c r="L417" s="4" t="str">
        <f t="shared" ca="1" si="11"/>
        <v/>
      </c>
      <c r="M417" s="6" t="str">
        <f>IF(VLOOKUP($C$4,Working!$A$23:$L$52,Working!$F$21,0)="Y",TEXT($C$6,"YYYYMM")&amp;"_"&amp;$E417&amp;"_"&amp;Working!$B$11&amp;Working!$B$12,"")</f>
        <v>201703_41618_Top15.xlsx</v>
      </c>
      <c r="N417" s="6" t="str">
        <f>IF(VLOOKUP($C$4,Working!$A$23:$L$52,Working!$I$21,0)="Y",TEXT($C$6,"YYYYMM")&amp;"_"&amp;$E417&amp;"_"&amp;Working!$B$13&amp;Working!$B$14,"")</f>
        <v/>
      </c>
      <c r="O417" s="4"/>
      <c r="P417" s="4"/>
      <c r="Q417" s="41" t="s">
        <v>228</v>
      </c>
      <c r="R417" s="41"/>
      <c r="S417" s="41"/>
      <c r="T417" s="41"/>
      <c r="U417" s="41"/>
      <c r="V417" s="4"/>
      <c r="AS417"/>
    </row>
    <row r="418" spans="1:45" x14ac:dyDescent="0.3">
      <c r="A418">
        <v>3353</v>
      </c>
      <c r="B418" s="37" t="str">
        <f>VLOOKUP(A418,'Monthly EE List'!A:D,4,0)&amp;" "&amp;VLOOKUP(A418,'Monthly EE List'!A:D,3,0)</f>
        <v>CATHERINE MORRIS</v>
      </c>
      <c r="C418" s="38" t="s">
        <v>3788</v>
      </c>
      <c r="D418" s="4" t="s">
        <v>599</v>
      </c>
      <c r="E418" t="s">
        <v>3817</v>
      </c>
      <c r="F418" t="s">
        <v>225</v>
      </c>
      <c r="G418" s="4" t="s">
        <v>142</v>
      </c>
      <c r="H418" s="4" t="str">
        <f>VLOOKUP(A418,'Monthly EE List'!A:G,7,0)</f>
        <v>A</v>
      </c>
      <c r="I418" t="s">
        <v>211</v>
      </c>
      <c r="J418" s="5">
        <v>42691</v>
      </c>
      <c r="K418" t="s">
        <v>147</v>
      </c>
      <c r="L418" s="4" t="str">
        <f t="shared" ref="L418:L426" ca="1" si="12">IF(OFFSET(N418,,$C$4)="X","X","")</f>
        <v/>
      </c>
      <c r="M418" s="6" t="str">
        <f>IF(VLOOKUP($C$4,Working!$A$23:$L$52,Working!$F$21,0)="Y",TEXT($C$6,"YYYYMM")&amp;"_"&amp;$E418&amp;"_"&amp;Working!$B$11&amp;Working!$B$12,"")</f>
        <v>201703_WZ1CM_Top15.xlsx</v>
      </c>
      <c r="N418" s="6" t="str">
        <f>IF(VLOOKUP($C$4,Working!$A$23:$L$52,Working!$I$21,0)="Y",TEXT($C$6,"YYYYMM")&amp;"_"&amp;$E418&amp;"_"&amp;Working!$B$13&amp;Working!$B$14,"")</f>
        <v/>
      </c>
      <c r="O418" s="4" t="s">
        <v>228</v>
      </c>
      <c r="P418" s="4" t="s">
        <v>228</v>
      </c>
      <c r="Q418" s="41"/>
      <c r="R418" s="41"/>
      <c r="S418" s="41"/>
      <c r="T418" s="41"/>
      <c r="U418" s="4" t="s">
        <v>228</v>
      </c>
      <c r="V418" s="54"/>
      <c r="AS418"/>
    </row>
    <row r="419" spans="1:45" x14ac:dyDescent="0.3">
      <c r="A419">
        <v>3352</v>
      </c>
      <c r="B419" s="37" t="str">
        <f>VLOOKUP(A419,'Monthly EE List'!A:D,4,0)&amp;" "&amp;VLOOKUP(A419,'Monthly EE List'!A:D,3,0)</f>
        <v>JAMIE IMESON</v>
      </c>
      <c r="C419" s="38" t="s">
        <v>3789</v>
      </c>
      <c r="D419" s="4" t="s">
        <v>599</v>
      </c>
      <c r="E419" t="s">
        <v>3818</v>
      </c>
      <c r="F419" t="s">
        <v>225</v>
      </c>
      <c r="G419" s="4" t="s">
        <v>142</v>
      </c>
      <c r="H419" s="4" t="str">
        <f>VLOOKUP(A419,'Monthly EE List'!A:G,7,0)</f>
        <v>A</v>
      </c>
      <c r="I419" t="s">
        <v>211</v>
      </c>
      <c r="J419" s="5">
        <v>42691</v>
      </c>
      <c r="K419" t="s">
        <v>147</v>
      </c>
      <c r="L419" s="4" t="str">
        <f t="shared" ca="1" si="12"/>
        <v/>
      </c>
      <c r="M419" s="6" t="str">
        <f>IF(VLOOKUP($C$4,Working!$A$23:$L$52,Working!$F$21,0)="Y",TEXT($C$6,"YYYYMM")&amp;"_"&amp;$E419&amp;"_"&amp;Working!$B$11&amp;Working!$B$12,"")</f>
        <v>201703_WZ1JI_Top15.xlsx</v>
      </c>
      <c r="N419" s="6" t="str">
        <f>IF(VLOOKUP($C$4,Working!$A$23:$L$52,Working!$I$21,0)="Y",TEXT($C$6,"YYYYMM")&amp;"_"&amp;$E419&amp;"_"&amp;Working!$B$13&amp;Working!$B$14,"")</f>
        <v/>
      </c>
      <c r="O419" s="4" t="s">
        <v>228</v>
      </c>
      <c r="P419" s="4" t="s">
        <v>228</v>
      </c>
      <c r="Q419" s="41"/>
      <c r="R419" s="41"/>
      <c r="S419" s="41"/>
      <c r="T419" s="41"/>
      <c r="U419" s="4" t="s">
        <v>228</v>
      </c>
      <c r="V419" s="54"/>
      <c r="AS419"/>
    </row>
    <row r="420" spans="1:45" x14ac:dyDescent="0.3">
      <c r="A420">
        <v>3356</v>
      </c>
      <c r="B420" s="37" t="str">
        <f>VLOOKUP(A420,'Monthly EE List'!A:D,4,0)&amp;" "&amp;VLOOKUP(A420,'Monthly EE List'!A:D,3,0)</f>
        <v>NATHAN MORRISON</v>
      </c>
      <c r="C420" s="38" t="s">
        <v>3820</v>
      </c>
      <c r="D420" s="4" t="s">
        <v>599</v>
      </c>
      <c r="E420">
        <v>25013</v>
      </c>
      <c r="F420" t="s">
        <v>226</v>
      </c>
      <c r="G420" s="4" t="s">
        <v>244</v>
      </c>
      <c r="H420" s="4" t="str">
        <f>VLOOKUP(A420,'Monthly EE List'!A:G,7,0)</f>
        <v>A</v>
      </c>
      <c r="I420" t="s">
        <v>211</v>
      </c>
      <c r="J420" s="5">
        <v>42706</v>
      </c>
      <c r="K420" t="s">
        <v>551</v>
      </c>
      <c r="L420" s="4" t="str">
        <f t="shared" ref="L420:L425" ca="1" si="13">IF(OFFSET(N420,,$C$4)="X","X","")</f>
        <v/>
      </c>
      <c r="M420" s="6" t="str">
        <f>IF(VLOOKUP($C$4,Working!$A$23:$L$52,Working!$F$21,0)="Y",TEXT($C$6,"YYYYMM")&amp;"_"&amp;$E420&amp;"_"&amp;Working!$B$11&amp;Working!$B$12,"")</f>
        <v>201703_25013_Top15.xlsx</v>
      </c>
      <c r="N420" s="6" t="str">
        <f>IF(VLOOKUP($C$4,Working!$A$23:$L$52,Working!$I$21,0)="Y",TEXT($C$6,"YYYYMM")&amp;"_"&amp;$E420&amp;"_"&amp;Working!$B$13&amp;Working!$B$14,"")</f>
        <v/>
      </c>
      <c r="O420" s="4"/>
      <c r="P420" s="4"/>
      <c r="Q420" s="54"/>
      <c r="R420" s="41"/>
      <c r="S420" s="41"/>
      <c r="T420" s="41"/>
      <c r="U420" s="41"/>
      <c r="V420" s="4"/>
      <c r="AS420"/>
    </row>
    <row r="421" spans="1:45" x14ac:dyDescent="0.3">
      <c r="A421">
        <v>4323</v>
      </c>
      <c r="B421" s="37" t="str">
        <f>VLOOKUP(A421,'Monthly EE List'!A:D,4,0)&amp;" "&amp;VLOOKUP(A421,'Monthly EE List'!A:D,3,0)</f>
        <v>FRANK CURLEY</v>
      </c>
      <c r="C421" s="38" t="s">
        <v>3821</v>
      </c>
      <c r="D421" s="4" t="s">
        <v>599</v>
      </c>
      <c r="E421">
        <v>41693</v>
      </c>
      <c r="F421" t="s">
        <v>215</v>
      </c>
      <c r="G421" s="4" t="s">
        <v>244</v>
      </c>
      <c r="H421" s="4" t="str">
        <f>VLOOKUP(A421,'Monthly EE List'!A:G,7,0)</f>
        <v>A</v>
      </c>
      <c r="I421" t="s">
        <v>211</v>
      </c>
      <c r="J421" s="5">
        <v>42710</v>
      </c>
      <c r="K421" t="s">
        <v>551</v>
      </c>
      <c r="L421" s="4" t="str">
        <f t="shared" ca="1" si="13"/>
        <v/>
      </c>
      <c r="M421" s="6" t="str">
        <f>IF(VLOOKUP($C$4,Working!$A$23:$L$52,Working!$F$21,0)="Y",TEXT($C$6,"YYYYMM")&amp;"_"&amp;$E421&amp;"_"&amp;Working!$B$11&amp;Working!$B$12,"")</f>
        <v>201703_41693_Top15.xlsx</v>
      </c>
      <c r="N421" s="6" t="str">
        <f>IF(VLOOKUP($C$4,Working!$A$23:$L$52,Working!$I$21,0)="Y",TEXT($C$6,"YYYYMM")&amp;"_"&amp;$E421&amp;"_"&amp;Working!$B$13&amp;Working!$B$14,"")</f>
        <v/>
      </c>
      <c r="O421" s="4"/>
      <c r="P421" s="4"/>
      <c r="Q421" s="41" t="s">
        <v>228</v>
      </c>
      <c r="R421" s="41"/>
      <c r="S421" s="41"/>
      <c r="T421" s="41"/>
      <c r="U421" s="41"/>
      <c r="V421" s="4"/>
      <c r="AS421"/>
    </row>
    <row r="422" spans="1:45" x14ac:dyDescent="0.3">
      <c r="A422">
        <v>3357</v>
      </c>
      <c r="B422" s="37" t="str">
        <f>VLOOKUP(A422,'Monthly EE List'!A:D,4,0)&amp;" "&amp;VLOOKUP(A422,'Monthly EE List'!A:D,3,0)</f>
        <v>MITCHUM GENTLES</v>
      </c>
      <c r="C422" s="38" t="s">
        <v>3823</v>
      </c>
      <c r="D422" s="4" t="s">
        <v>599</v>
      </c>
      <c r="E422">
        <v>78027</v>
      </c>
      <c r="F422" t="s">
        <v>225</v>
      </c>
      <c r="G422" s="4" t="s">
        <v>244</v>
      </c>
      <c r="H422" s="4" t="str">
        <f>VLOOKUP(A422,'Monthly EE List'!A:G,7,0)</f>
        <v>A</v>
      </c>
      <c r="I422" t="s">
        <v>211</v>
      </c>
      <c r="J422" s="5">
        <v>42711</v>
      </c>
      <c r="K422" t="s">
        <v>551</v>
      </c>
      <c r="L422" s="4" t="str">
        <f t="shared" ca="1" si="13"/>
        <v/>
      </c>
      <c r="M422" s="6" t="str">
        <f>IF(VLOOKUP($C$4,Working!$A$23:$L$52,Working!$F$21,0)="Y",TEXT($C$6,"YYYYMM")&amp;"_"&amp;$E422&amp;"_"&amp;Working!$B$11&amp;Working!$B$12,"")</f>
        <v>201703_78027_Top15.xlsx</v>
      </c>
      <c r="N422" s="6" t="str">
        <f>IF(VLOOKUP($C$4,Working!$A$23:$L$52,Working!$I$21,0)="Y",TEXT($C$6,"YYYYMM")&amp;"_"&amp;$E422&amp;"_"&amp;Working!$B$13&amp;Working!$B$14,"")</f>
        <v/>
      </c>
      <c r="O422" s="4"/>
      <c r="P422" s="4"/>
      <c r="Q422" s="54"/>
      <c r="R422" s="41"/>
      <c r="S422" s="41"/>
      <c r="T422" s="41"/>
      <c r="U422" s="41"/>
      <c r="V422" s="4"/>
      <c r="AS422"/>
    </row>
    <row r="423" spans="1:45" x14ac:dyDescent="0.3">
      <c r="A423">
        <v>3358</v>
      </c>
      <c r="B423" s="37" t="str">
        <f>VLOOKUP(A423,'Monthly EE List'!A:D,4,0)&amp;" "&amp;VLOOKUP(A423,'Monthly EE List'!A:D,3,0)</f>
        <v>ROBERT RUDD</v>
      </c>
      <c r="C423" s="38" t="s">
        <v>3822</v>
      </c>
      <c r="D423" s="4" t="s">
        <v>599</v>
      </c>
      <c r="E423">
        <v>78028</v>
      </c>
      <c r="F423" t="s">
        <v>225</v>
      </c>
      <c r="G423" s="4" t="s">
        <v>244</v>
      </c>
      <c r="H423" s="4" t="str">
        <f>VLOOKUP(A423,'Monthly EE List'!A:G,7,0)</f>
        <v>A</v>
      </c>
      <c r="I423" t="s">
        <v>211</v>
      </c>
      <c r="J423" s="5">
        <v>42711</v>
      </c>
      <c r="K423" t="s">
        <v>551</v>
      </c>
      <c r="L423" s="4" t="str">
        <f t="shared" ca="1" si="13"/>
        <v/>
      </c>
      <c r="M423" s="6" t="str">
        <f>IF(VLOOKUP($C$4,Working!$A$23:$L$52,Working!$F$21,0)="Y",TEXT($C$6,"YYYYMM")&amp;"_"&amp;$E423&amp;"_"&amp;Working!$B$11&amp;Working!$B$12,"")</f>
        <v>201703_78028_Top15.xlsx</v>
      </c>
      <c r="N423" s="6" t="str">
        <f>IF(VLOOKUP($C$4,Working!$A$23:$L$52,Working!$I$21,0)="Y",TEXT($C$6,"YYYYMM")&amp;"_"&amp;$E423&amp;"_"&amp;Working!$B$13&amp;Working!$B$14,"")</f>
        <v/>
      </c>
      <c r="O423" s="4"/>
      <c r="P423" s="4"/>
      <c r="Q423" s="54"/>
      <c r="R423" s="41"/>
      <c r="S423" s="41"/>
      <c r="T423" s="41"/>
      <c r="U423" s="41"/>
      <c r="V423" s="4"/>
      <c r="AS423"/>
    </row>
    <row r="424" spans="1:45" x14ac:dyDescent="0.3">
      <c r="A424">
        <v>3341</v>
      </c>
      <c r="B424" s="37" t="str">
        <f>VLOOKUP(A424,'Monthly EE List'!A:D,4,0)&amp;" "&amp;VLOOKUP(A424,'Monthly EE List'!A:D,3,0)</f>
        <v>SCOTT MILDENBERGER</v>
      </c>
      <c r="C424" s="38" t="s">
        <v>3850</v>
      </c>
      <c r="D424" s="4" t="s">
        <v>599</v>
      </c>
      <c r="E424">
        <v>30618</v>
      </c>
      <c r="F424" t="s">
        <v>224</v>
      </c>
      <c r="G424" s="4" t="s">
        <v>244</v>
      </c>
      <c r="H424" s="4" t="str">
        <f>VLOOKUP(A424,'Monthly EE List'!A:G,7,0)</f>
        <v>A</v>
      </c>
      <c r="I424" t="s">
        <v>211</v>
      </c>
      <c r="J424" s="5">
        <v>42793</v>
      </c>
      <c r="K424" t="s">
        <v>551</v>
      </c>
      <c r="L424" s="4" t="str">
        <f t="shared" ca="1" si="13"/>
        <v/>
      </c>
      <c r="M424" s="6" t="str">
        <f>IF(VLOOKUP($C$4,Working!$A$23:$L$52,Working!$F$21,0)="Y",TEXT($C$6,"YYYYMM")&amp;"_"&amp;$E424&amp;"_"&amp;Working!$B$11&amp;Working!$B$12,"")</f>
        <v>201703_30618_Top15.xlsx</v>
      </c>
      <c r="N424" s="6" t="str">
        <f>IF(VLOOKUP($C$4,Working!$A$23:$L$52,Working!$I$21,0)="Y",TEXT($C$6,"YYYYMM")&amp;"_"&amp;$E424&amp;"_"&amp;Working!$B$13&amp;Working!$B$14,"")</f>
        <v/>
      </c>
      <c r="O424" s="4"/>
      <c r="P424" s="4"/>
      <c r="Q424" s="41" t="s">
        <v>228</v>
      </c>
      <c r="R424" s="41"/>
      <c r="S424" s="41"/>
      <c r="T424" s="41"/>
      <c r="U424" s="41"/>
      <c r="V424" s="4"/>
      <c r="AS424"/>
    </row>
    <row r="425" spans="1:45" x14ac:dyDescent="0.3">
      <c r="A425">
        <v>4301</v>
      </c>
      <c r="B425" s="37" t="str">
        <f>VLOOKUP(A425,'Monthly EE List'!A:D,4,0)&amp;" "&amp;VLOOKUP(A425,'Monthly EE List'!A:D,3,0)</f>
        <v>EDWARD SMITH</v>
      </c>
      <c r="C425" s="38" t="s">
        <v>3851</v>
      </c>
      <c r="D425" s="4" t="s">
        <v>599</v>
      </c>
      <c r="E425">
        <v>70902</v>
      </c>
      <c r="F425" t="s">
        <v>3747</v>
      </c>
      <c r="G425" s="4" t="s">
        <v>244</v>
      </c>
      <c r="H425" s="4" t="str">
        <f>VLOOKUP(A425,'Monthly EE List'!A:G,7,0)</f>
        <v>A</v>
      </c>
      <c r="I425" t="s">
        <v>211</v>
      </c>
      <c r="J425" s="5">
        <v>42793</v>
      </c>
      <c r="K425" t="s">
        <v>551</v>
      </c>
      <c r="L425" s="4" t="str">
        <f t="shared" ca="1" si="13"/>
        <v/>
      </c>
      <c r="M425" s="6" t="str">
        <f>IF(VLOOKUP($C$4,Working!$A$23:$L$52,Working!$F$21,0)="Y",TEXT($C$6,"YYYYMM")&amp;"_"&amp;$E425&amp;"_"&amp;Working!$B$11&amp;Working!$B$12,"")</f>
        <v>201703_70902_Top15.xlsx</v>
      </c>
      <c r="N425" s="6" t="str">
        <f>IF(VLOOKUP($C$4,Working!$A$23:$L$52,Working!$I$21,0)="Y",TEXT($C$6,"YYYYMM")&amp;"_"&amp;$E425&amp;"_"&amp;Working!$B$13&amp;Working!$B$14,"")</f>
        <v/>
      </c>
      <c r="O425" s="4"/>
      <c r="P425" s="4"/>
      <c r="Q425" s="41" t="s">
        <v>228</v>
      </c>
      <c r="R425" s="41"/>
      <c r="S425" s="41"/>
      <c r="T425" s="41"/>
      <c r="U425" s="41"/>
      <c r="V425" s="4"/>
      <c r="AS425"/>
    </row>
    <row r="426" spans="1:45" x14ac:dyDescent="0.3">
      <c r="A426">
        <v>4327</v>
      </c>
      <c r="B426" s="37" t="str">
        <f>VLOOKUP(A426,'Monthly EE List'!A:D,4,0)&amp;" "&amp;VLOOKUP(A426,'Monthly EE List'!A:D,3,0)</f>
        <v>JASON KIRKBRIDE</v>
      </c>
      <c r="C426" s="38" t="s">
        <v>3853</v>
      </c>
      <c r="D426" s="4" t="s">
        <v>565</v>
      </c>
      <c r="E426">
        <v>61331</v>
      </c>
      <c r="F426" t="s">
        <v>221</v>
      </c>
      <c r="G426" s="4" t="s">
        <v>244</v>
      </c>
      <c r="H426" s="4" t="str">
        <f>VLOOKUP(A426,'Monthly EE List'!A:G,7,0)</f>
        <v>A</v>
      </c>
      <c r="I426" t="s">
        <v>211</v>
      </c>
      <c r="J426" s="5">
        <v>42794</v>
      </c>
      <c r="K426" t="s">
        <v>551</v>
      </c>
      <c r="L426" s="4" t="str">
        <f t="shared" ca="1" si="12"/>
        <v/>
      </c>
      <c r="M426" s="6" t="str">
        <f>IF(VLOOKUP($C$4,Working!$A$23:$L$52,Working!$F$21,0)="Y",TEXT($C$6,"YYYYMM")&amp;"_"&amp;$E426&amp;"_"&amp;Working!$B$11&amp;Working!$B$12,"")</f>
        <v>201703_61331_Top15.xlsx</v>
      </c>
      <c r="N426" s="6" t="str">
        <f>IF(VLOOKUP($C$4,Working!$A$23:$L$52,Working!$I$21,0)="Y",TEXT($C$6,"YYYYMM")&amp;"_"&amp;$E426&amp;"_"&amp;Working!$B$13&amp;Working!$B$14,"")</f>
        <v/>
      </c>
      <c r="O426" s="4"/>
      <c r="P426" s="4"/>
      <c r="Q426" s="54"/>
      <c r="R426" s="41"/>
      <c r="S426" s="41"/>
      <c r="T426" s="41"/>
      <c r="U426" s="41"/>
      <c r="V426" s="4"/>
      <c r="AS426"/>
    </row>
    <row r="427" spans="1:45" x14ac:dyDescent="0.3">
      <c r="A427">
        <v>4329</v>
      </c>
      <c r="B427" s="37" t="str">
        <f>VLOOKUP(A427,'Monthly EE List'!A:D,4,0)&amp;" "&amp;VLOOKUP(A427,'Monthly EE List'!A:D,3,0)</f>
        <v>JULIE BLACKBURN</v>
      </c>
      <c r="C427" s="38" t="s">
        <v>3858</v>
      </c>
      <c r="D427" s="4" t="s">
        <v>565</v>
      </c>
      <c r="E427" s="61"/>
      <c r="F427" t="s">
        <v>219</v>
      </c>
      <c r="G427" s="4" t="s">
        <v>142</v>
      </c>
      <c r="H427" s="4" t="str">
        <f>VLOOKUP(A427,'Monthly EE List'!A:G,7,0)</f>
        <v>A</v>
      </c>
      <c r="I427" t="s">
        <v>211</v>
      </c>
      <c r="J427" s="5">
        <v>42801</v>
      </c>
      <c r="K427" t="s">
        <v>147</v>
      </c>
      <c r="L427" s="4" t="str">
        <f t="shared" ref="L427" ca="1" si="14">IF(OFFSET(N427,,$C$4)="X","X","")</f>
        <v/>
      </c>
      <c r="M427" s="6" t="str">
        <f>IF(VLOOKUP($C$4,Working!$A$23:$L$52,Working!$F$21,0)="Y",TEXT($C$6,"YYYYMM")&amp;"_"&amp;$E427&amp;"_"&amp;Working!$B$11&amp;Working!$B$12,"")</f>
        <v>201703__Top15.xlsx</v>
      </c>
      <c r="N427" s="6" t="str">
        <f>IF(VLOOKUP($C$4,Working!$A$23:$L$52,Working!$I$21,0)="Y",TEXT($C$6,"YYYYMM")&amp;"_"&amp;$E427&amp;"_"&amp;Working!$B$13&amp;Working!$B$14,"")</f>
        <v/>
      </c>
      <c r="O427" s="54"/>
      <c r="P427" s="54"/>
      <c r="Q427" s="41"/>
      <c r="R427" s="41"/>
      <c r="S427" s="41"/>
      <c r="T427" s="41"/>
      <c r="U427" s="54"/>
      <c r="V427" s="4"/>
      <c r="AS427"/>
    </row>
    <row r="428" spans="1:45" x14ac:dyDescent="0.3">
      <c r="A428">
        <v>3366</v>
      </c>
      <c r="B428" s="37" t="str">
        <f>VLOOKUP(A428,'Monthly EE List'!A:D,4,0)&amp;" "&amp;VLOOKUP(A428,'Monthly EE List'!A:D,3,0)</f>
        <v>MEGAN SCHICK</v>
      </c>
      <c r="C428" s="38" t="s">
        <v>3859</v>
      </c>
      <c r="D428" s="4" t="s">
        <v>599</v>
      </c>
      <c r="E428" t="s">
        <v>3862</v>
      </c>
      <c r="F428" t="s">
        <v>225</v>
      </c>
      <c r="G428" s="4" t="s">
        <v>142</v>
      </c>
      <c r="H428" s="4" t="str">
        <f>VLOOKUP(A428,'Monthly EE List'!A:G,7,0)</f>
        <v>A</v>
      </c>
      <c r="I428" t="s">
        <v>211</v>
      </c>
      <c r="J428" s="5">
        <v>42801</v>
      </c>
      <c r="K428" t="s">
        <v>147</v>
      </c>
      <c r="L428" s="4" t="str">
        <f t="shared" ref="L428" ca="1" si="15">IF(OFFSET(N428,,$C$4)="X","X","")</f>
        <v/>
      </c>
      <c r="M428" s="6" t="str">
        <f>IF(VLOOKUP($C$4,Working!$A$23:$L$52,Working!$F$21,0)="Y",TEXT($C$6,"YYYYMM")&amp;"_"&amp;$E428&amp;"_"&amp;Working!$B$11&amp;Working!$B$12,"")</f>
        <v>201703_WZ2MS_Top15.xlsx</v>
      </c>
      <c r="N428" s="6" t="str">
        <f>IF(VLOOKUP($C$4,Working!$A$23:$L$52,Working!$I$21,0)="Y",TEXT($C$6,"YYYYMM")&amp;"_"&amp;$E428&amp;"_"&amp;Working!$B$13&amp;Working!$B$14,"")</f>
        <v/>
      </c>
      <c r="O428" s="4" t="s">
        <v>228</v>
      </c>
      <c r="P428" s="54"/>
      <c r="Q428" s="41"/>
      <c r="R428" s="41"/>
      <c r="S428" s="41"/>
      <c r="T428" s="41"/>
      <c r="U428" s="4" t="s">
        <v>228</v>
      </c>
      <c r="V428" s="4"/>
      <c r="AS428"/>
    </row>
    <row r="429" spans="1:45" s="10" customFormat="1" x14ac:dyDescent="0.3">
      <c r="A429" s="7" t="s">
        <v>3124</v>
      </c>
      <c r="B429" s="37"/>
      <c r="C429" s="37"/>
      <c r="D429" s="4"/>
      <c r="E429"/>
      <c r="F429"/>
      <c r="G429" s="4"/>
      <c r="H429"/>
      <c r="I429"/>
      <c r="J429" s="5"/>
      <c r="K429"/>
      <c r="L429" s="4"/>
      <c r="M429" s="6"/>
      <c r="N429" s="6"/>
      <c r="O429" s="4"/>
      <c r="P429" s="4"/>
      <c r="Q429" s="41"/>
      <c r="R429" s="41"/>
      <c r="S429" s="41"/>
      <c r="T429" s="41"/>
      <c r="U429" s="41"/>
      <c r="V429" s="4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</row>
    <row r="430" spans="1:45" s="10" customFormat="1" x14ac:dyDescent="0.3">
      <c r="A430"/>
      <c r="B430" s="37"/>
      <c r="C430" s="37"/>
      <c r="D430" s="4"/>
      <c r="E430"/>
      <c r="F430"/>
      <c r="G430" s="4"/>
      <c r="H430"/>
      <c r="I430"/>
      <c r="J430" s="5"/>
      <c r="K430"/>
      <c r="L430" s="4"/>
      <c r="M430" s="6"/>
      <c r="N430" s="6"/>
      <c r="O430" s="4"/>
      <c r="P430" s="4"/>
      <c r="Q430" s="41"/>
      <c r="R430" s="41"/>
      <c r="S430" s="41"/>
      <c r="T430" s="41"/>
      <c r="U430" s="41"/>
      <c r="V430" s="4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</row>
    <row r="431" spans="1:45" x14ac:dyDescent="0.3">
      <c r="A431" s="7" t="s">
        <v>510</v>
      </c>
      <c r="B431" s="16"/>
      <c r="C431" s="37"/>
      <c r="D431" s="37"/>
      <c r="J431" s="5"/>
    </row>
    <row r="432" spans="1:45" x14ac:dyDescent="0.3">
      <c r="A432" s="8">
        <v>218</v>
      </c>
      <c r="B432" s="37" t="s">
        <v>511</v>
      </c>
      <c r="C432" s="38" t="s">
        <v>536</v>
      </c>
      <c r="D432" s="38"/>
      <c r="E432" t="s">
        <v>523</v>
      </c>
      <c r="F432" t="s">
        <v>215</v>
      </c>
      <c r="G432" s="4" t="s">
        <v>142</v>
      </c>
      <c r="H432" s="4" t="s">
        <v>244</v>
      </c>
      <c r="I432" t="s">
        <v>535</v>
      </c>
      <c r="J432" s="5">
        <v>40210</v>
      </c>
      <c r="K432" t="s">
        <v>509</v>
      </c>
    </row>
    <row r="433" spans="1:17" x14ac:dyDescent="0.3">
      <c r="A433" s="9">
        <v>1721</v>
      </c>
      <c r="B433" s="37" t="s">
        <v>512</v>
      </c>
      <c r="C433" s="38" t="s">
        <v>537</v>
      </c>
      <c r="D433" s="38"/>
      <c r="E433" t="s">
        <v>524</v>
      </c>
      <c r="F433" t="s">
        <v>215</v>
      </c>
      <c r="G433" s="4" t="s">
        <v>142</v>
      </c>
      <c r="H433" s="4" t="s">
        <v>244</v>
      </c>
      <c r="I433" t="s">
        <v>535</v>
      </c>
      <c r="J433" s="5">
        <v>40210</v>
      </c>
      <c r="K433" t="s">
        <v>509</v>
      </c>
    </row>
    <row r="434" spans="1:17" x14ac:dyDescent="0.3">
      <c r="A434">
        <v>1818</v>
      </c>
      <c r="B434" s="37" t="s">
        <v>513</v>
      </c>
      <c r="C434" s="38" t="s">
        <v>538</v>
      </c>
      <c r="D434" s="38"/>
      <c r="E434" t="s">
        <v>525</v>
      </c>
      <c r="F434" t="s">
        <v>219</v>
      </c>
      <c r="G434" s="4" t="s">
        <v>142</v>
      </c>
      <c r="H434" s="4" t="s">
        <v>244</v>
      </c>
      <c r="I434" t="s">
        <v>535</v>
      </c>
      <c r="J434" s="5">
        <v>40262</v>
      </c>
      <c r="K434" t="s">
        <v>509</v>
      </c>
    </row>
    <row r="435" spans="1:17" x14ac:dyDescent="0.3">
      <c r="A435">
        <v>3178</v>
      </c>
      <c r="B435" s="37" t="s">
        <v>514</v>
      </c>
      <c r="C435" s="38" t="s">
        <v>540</v>
      </c>
      <c r="D435" s="38"/>
      <c r="E435" t="s">
        <v>526</v>
      </c>
      <c r="F435" t="s">
        <v>225</v>
      </c>
      <c r="G435" s="4" t="s">
        <v>142</v>
      </c>
      <c r="H435" s="4" t="s">
        <v>244</v>
      </c>
      <c r="I435" t="s">
        <v>535</v>
      </c>
      <c r="J435" s="5">
        <v>40262</v>
      </c>
      <c r="K435" t="s">
        <v>509</v>
      </c>
    </row>
    <row r="436" spans="1:17" x14ac:dyDescent="0.3">
      <c r="A436">
        <v>6072</v>
      </c>
      <c r="B436" s="37" t="s">
        <v>515</v>
      </c>
      <c r="C436" s="38" t="s">
        <v>539</v>
      </c>
      <c r="D436" s="38"/>
      <c r="E436" t="s">
        <v>527</v>
      </c>
      <c r="F436" t="s">
        <v>217</v>
      </c>
      <c r="G436" s="4" t="s">
        <v>142</v>
      </c>
      <c r="H436" s="4" t="s">
        <v>244</v>
      </c>
      <c r="I436" t="s">
        <v>535</v>
      </c>
      <c r="J436" s="5">
        <v>40294</v>
      </c>
      <c r="K436" t="s">
        <v>509</v>
      </c>
    </row>
    <row r="437" spans="1:17" x14ac:dyDescent="0.3">
      <c r="A437">
        <v>3176</v>
      </c>
      <c r="B437" s="37" t="s">
        <v>516</v>
      </c>
      <c r="C437" s="38" t="s">
        <v>541</v>
      </c>
      <c r="D437" s="38"/>
      <c r="E437" t="s">
        <v>528</v>
      </c>
      <c r="F437" t="s">
        <v>223</v>
      </c>
      <c r="G437" s="4" t="s">
        <v>142</v>
      </c>
      <c r="H437" s="4" t="s">
        <v>244</v>
      </c>
      <c r="I437" t="s">
        <v>535</v>
      </c>
      <c r="J437" s="5">
        <v>40296</v>
      </c>
      <c r="K437" t="s">
        <v>509</v>
      </c>
    </row>
    <row r="438" spans="1:17" x14ac:dyDescent="0.3">
      <c r="A438">
        <v>6027</v>
      </c>
      <c r="B438" s="37" t="s">
        <v>517</v>
      </c>
      <c r="C438" s="38" t="s">
        <v>542</v>
      </c>
      <c r="D438" s="38"/>
      <c r="E438" t="s">
        <v>529</v>
      </c>
      <c r="F438" t="s">
        <v>227</v>
      </c>
      <c r="G438" s="4" t="s">
        <v>142</v>
      </c>
      <c r="H438" s="4" t="s">
        <v>244</v>
      </c>
      <c r="I438" t="s">
        <v>535</v>
      </c>
      <c r="J438" s="5">
        <v>40360</v>
      </c>
      <c r="K438" t="s">
        <v>509</v>
      </c>
    </row>
    <row r="439" spans="1:17" x14ac:dyDescent="0.3">
      <c r="A439">
        <v>459</v>
      </c>
      <c r="B439" s="37" t="s">
        <v>518</v>
      </c>
      <c r="C439" s="38" t="s">
        <v>543</v>
      </c>
      <c r="D439" s="38"/>
      <c r="E439" t="s">
        <v>530</v>
      </c>
      <c r="F439" t="s">
        <v>217</v>
      </c>
      <c r="G439" s="4" t="s">
        <v>142</v>
      </c>
      <c r="H439" s="4" t="s">
        <v>244</v>
      </c>
      <c r="I439" t="s">
        <v>535</v>
      </c>
      <c r="J439" s="5">
        <v>40361</v>
      </c>
      <c r="K439" t="s">
        <v>509</v>
      </c>
    </row>
    <row r="440" spans="1:17" x14ac:dyDescent="0.3">
      <c r="A440">
        <v>6286</v>
      </c>
      <c r="B440" s="37" t="s">
        <v>519</v>
      </c>
      <c r="C440" s="38" t="s">
        <v>544</v>
      </c>
      <c r="D440" s="38"/>
      <c r="E440" t="s">
        <v>531</v>
      </c>
      <c r="F440" t="s">
        <v>215</v>
      </c>
      <c r="G440" s="4" t="s">
        <v>142</v>
      </c>
      <c r="H440" s="4" t="s">
        <v>244</v>
      </c>
      <c r="I440" t="s">
        <v>535</v>
      </c>
      <c r="J440" s="5">
        <v>40368</v>
      </c>
      <c r="K440" t="s">
        <v>509</v>
      </c>
    </row>
    <row r="441" spans="1:17" x14ac:dyDescent="0.3">
      <c r="A441">
        <v>1832</v>
      </c>
      <c r="B441" s="37" t="s">
        <v>520</v>
      </c>
      <c r="C441" s="38" t="s">
        <v>545</v>
      </c>
      <c r="D441" s="38"/>
      <c r="E441" t="s">
        <v>532</v>
      </c>
      <c r="F441" t="s">
        <v>215</v>
      </c>
      <c r="G441" s="4" t="s">
        <v>142</v>
      </c>
      <c r="H441" s="4" t="s">
        <v>244</v>
      </c>
      <c r="I441" t="s">
        <v>535</v>
      </c>
      <c r="J441" s="5">
        <v>40437</v>
      </c>
      <c r="K441" t="s">
        <v>509</v>
      </c>
    </row>
    <row r="442" spans="1:17" x14ac:dyDescent="0.3">
      <c r="A442">
        <v>6171</v>
      </c>
      <c r="B442" s="37" t="s">
        <v>522</v>
      </c>
      <c r="C442" s="38" t="s">
        <v>547</v>
      </c>
      <c r="D442" s="38"/>
      <c r="E442" t="s">
        <v>534</v>
      </c>
      <c r="F442" t="s">
        <v>225</v>
      </c>
      <c r="G442" s="4" t="s">
        <v>142</v>
      </c>
      <c r="H442" s="4" t="s">
        <v>244</v>
      </c>
      <c r="I442" t="s">
        <v>535</v>
      </c>
      <c r="J442" s="5">
        <v>40469</v>
      </c>
      <c r="K442" t="s">
        <v>509</v>
      </c>
    </row>
    <row r="443" spans="1:17" x14ac:dyDescent="0.3">
      <c r="A443">
        <v>6201</v>
      </c>
      <c r="B443" s="37" t="s">
        <v>521</v>
      </c>
      <c r="C443" s="38" t="s">
        <v>546</v>
      </c>
      <c r="D443" s="38"/>
      <c r="E443" t="s">
        <v>533</v>
      </c>
      <c r="F443" t="s">
        <v>214</v>
      </c>
      <c r="G443" s="4" t="s">
        <v>142</v>
      </c>
      <c r="H443" s="4" t="s">
        <v>244</v>
      </c>
      <c r="I443" t="s">
        <v>535</v>
      </c>
      <c r="J443" s="5">
        <v>40469</v>
      </c>
      <c r="K443" t="s">
        <v>509</v>
      </c>
    </row>
    <row r="444" spans="1:17" x14ac:dyDescent="0.3">
      <c r="A444">
        <v>415</v>
      </c>
      <c r="B444" s="37" t="s">
        <v>28</v>
      </c>
      <c r="C444" s="38" t="s">
        <v>344</v>
      </c>
      <c r="D444" s="38"/>
      <c r="E444" t="s">
        <v>38</v>
      </c>
      <c r="F444" t="s">
        <v>216</v>
      </c>
      <c r="G444" s="4" t="s">
        <v>142</v>
      </c>
      <c r="H444" s="4" t="s">
        <v>244</v>
      </c>
      <c r="I444" t="s">
        <v>535</v>
      </c>
      <c r="J444" s="5">
        <v>40583</v>
      </c>
      <c r="K444" t="s">
        <v>509</v>
      </c>
      <c r="P444" s="4" t="s">
        <v>502</v>
      </c>
      <c r="Q444" s="4"/>
    </row>
    <row r="445" spans="1:17" x14ac:dyDescent="0.3">
      <c r="A445">
        <v>1892</v>
      </c>
      <c r="B445" s="37" t="s">
        <v>32</v>
      </c>
      <c r="C445" s="38" t="s">
        <v>404</v>
      </c>
      <c r="D445" s="38"/>
      <c r="E445" t="s">
        <v>103</v>
      </c>
      <c r="F445" t="s">
        <v>219</v>
      </c>
      <c r="G445" s="4" t="s">
        <v>142</v>
      </c>
      <c r="H445" s="4" t="s">
        <v>244</v>
      </c>
      <c r="I445" t="s">
        <v>535</v>
      </c>
      <c r="J445" s="5">
        <v>40623</v>
      </c>
      <c r="K445" t="s">
        <v>509</v>
      </c>
      <c r="P445" s="4"/>
      <c r="Q445" s="4"/>
    </row>
    <row r="446" spans="1:17" x14ac:dyDescent="0.3">
      <c r="A446">
        <v>490</v>
      </c>
      <c r="B446" s="37" t="s">
        <v>29</v>
      </c>
      <c r="C446" s="38" t="s">
        <v>358</v>
      </c>
      <c r="D446" s="38"/>
      <c r="E446" t="s">
        <v>55</v>
      </c>
      <c r="F446" t="s">
        <v>219</v>
      </c>
      <c r="G446" s="4" t="s">
        <v>142</v>
      </c>
      <c r="H446" s="4" t="s">
        <v>244</v>
      </c>
      <c r="I446" t="s">
        <v>535</v>
      </c>
      <c r="J446" s="5">
        <v>40637</v>
      </c>
      <c r="K446" t="s">
        <v>509</v>
      </c>
      <c r="P446" s="4"/>
      <c r="Q446" s="4"/>
    </row>
    <row r="447" spans="1:17" x14ac:dyDescent="0.3">
      <c r="A447">
        <v>820</v>
      </c>
      <c r="B447" s="37" t="s">
        <v>30</v>
      </c>
      <c r="C447" s="38" t="s">
        <v>359</v>
      </c>
      <c r="D447" s="38"/>
      <c r="E447" t="s">
        <v>57</v>
      </c>
      <c r="F447" t="s">
        <v>215</v>
      </c>
      <c r="G447" s="4" t="s">
        <v>142</v>
      </c>
      <c r="H447" s="4" t="s">
        <v>244</v>
      </c>
      <c r="I447" t="s">
        <v>535</v>
      </c>
      <c r="J447" s="5">
        <v>40644</v>
      </c>
      <c r="K447" t="s">
        <v>557</v>
      </c>
      <c r="P447" s="4"/>
      <c r="Q447" s="4"/>
    </row>
    <row r="448" spans="1:17" x14ac:dyDescent="0.3">
      <c r="A448">
        <v>6283</v>
      </c>
      <c r="B448" s="37" t="s">
        <v>34</v>
      </c>
      <c r="C448" s="38" t="s">
        <v>493</v>
      </c>
      <c r="D448" s="38"/>
      <c r="E448" t="s">
        <v>201</v>
      </c>
      <c r="F448" t="s">
        <v>215</v>
      </c>
      <c r="G448" s="4" t="s">
        <v>142</v>
      </c>
      <c r="H448" s="4" t="s">
        <v>244</v>
      </c>
      <c r="I448" t="s">
        <v>535</v>
      </c>
      <c r="J448" s="5">
        <v>40644</v>
      </c>
      <c r="K448" t="s">
        <v>557</v>
      </c>
      <c r="P448" s="4"/>
      <c r="Q448" s="4"/>
    </row>
    <row r="449" spans="1:18" x14ac:dyDescent="0.3">
      <c r="A449">
        <v>1626</v>
      </c>
      <c r="B449" s="37" t="s">
        <v>243</v>
      </c>
      <c r="C449" s="38" t="s">
        <v>312</v>
      </c>
      <c r="D449" s="38"/>
      <c r="G449" s="4" t="s">
        <v>244</v>
      </c>
      <c r="H449" s="4" t="s">
        <v>244</v>
      </c>
      <c r="I449" t="s">
        <v>535</v>
      </c>
      <c r="J449" s="5">
        <v>40653</v>
      </c>
      <c r="K449" t="s">
        <v>509</v>
      </c>
      <c r="R449" s="4"/>
    </row>
    <row r="450" spans="1:18" x14ac:dyDescent="0.3">
      <c r="A450">
        <v>6199</v>
      </c>
      <c r="B450" s="37" t="s">
        <v>33</v>
      </c>
      <c r="C450" s="38" t="s">
        <v>481</v>
      </c>
      <c r="D450" s="38"/>
      <c r="E450" t="s">
        <v>188</v>
      </c>
      <c r="F450" t="s">
        <v>214</v>
      </c>
      <c r="G450" s="4" t="s">
        <v>142</v>
      </c>
      <c r="H450" s="4" t="s">
        <v>244</v>
      </c>
      <c r="I450" t="s">
        <v>535</v>
      </c>
      <c r="J450" s="5">
        <v>40665</v>
      </c>
      <c r="K450" t="s">
        <v>509</v>
      </c>
      <c r="P450" s="4"/>
      <c r="Q450" s="4"/>
    </row>
    <row r="451" spans="1:18" x14ac:dyDescent="0.3">
      <c r="A451">
        <v>1956</v>
      </c>
      <c r="B451" s="37" t="s">
        <v>555</v>
      </c>
      <c r="C451" s="38" t="s">
        <v>556</v>
      </c>
      <c r="D451" s="38"/>
      <c r="E451" s="10" t="s">
        <v>559</v>
      </c>
      <c r="F451" t="s">
        <v>221</v>
      </c>
      <c r="G451" s="4" t="s">
        <v>142</v>
      </c>
      <c r="H451" s="4" t="s">
        <v>244</v>
      </c>
      <c r="I451" t="s">
        <v>535</v>
      </c>
      <c r="J451" s="5">
        <v>40693</v>
      </c>
      <c r="K451" t="s">
        <v>509</v>
      </c>
      <c r="P451" s="4"/>
      <c r="Q451" s="4"/>
    </row>
    <row r="452" spans="1:18" x14ac:dyDescent="0.3">
      <c r="A452">
        <v>1758</v>
      </c>
      <c r="B452" s="37" t="s">
        <v>31</v>
      </c>
      <c r="C452" s="38" t="s">
        <v>392</v>
      </c>
      <c r="D452" s="38"/>
      <c r="E452" t="s">
        <v>90</v>
      </c>
      <c r="F452" t="s">
        <v>221</v>
      </c>
      <c r="G452" s="4" t="s">
        <v>142</v>
      </c>
      <c r="H452" s="4" t="s">
        <v>244</v>
      </c>
      <c r="I452" t="s">
        <v>535</v>
      </c>
      <c r="J452" s="5">
        <v>40724</v>
      </c>
      <c r="K452" t="s">
        <v>509</v>
      </c>
      <c r="P452" s="4"/>
      <c r="Q452" s="4"/>
    </row>
    <row r="453" spans="1:18" x14ac:dyDescent="0.3">
      <c r="A453">
        <v>1539</v>
      </c>
      <c r="B453" s="37" t="s">
        <v>2505</v>
      </c>
      <c r="C453" s="38" t="s">
        <v>558</v>
      </c>
      <c r="D453" s="38"/>
      <c r="E453">
        <v>51415</v>
      </c>
      <c r="F453" t="s">
        <v>217</v>
      </c>
      <c r="G453" s="4" t="s">
        <v>244</v>
      </c>
      <c r="H453" s="4" t="s">
        <v>244</v>
      </c>
      <c r="I453" t="s">
        <v>535</v>
      </c>
      <c r="J453" s="5">
        <v>40800</v>
      </c>
      <c r="K453" t="s">
        <v>509</v>
      </c>
    </row>
    <row r="454" spans="1:18" x14ac:dyDescent="0.3">
      <c r="A454">
        <v>1725</v>
      </c>
      <c r="B454" s="37" t="s">
        <v>2506</v>
      </c>
      <c r="C454" s="38" t="s">
        <v>388</v>
      </c>
      <c r="D454" s="38"/>
      <c r="E454" t="s">
        <v>86</v>
      </c>
      <c r="F454" t="s">
        <v>215</v>
      </c>
      <c r="G454" s="4" t="s">
        <v>142</v>
      </c>
      <c r="H454" s="4" t="s">
        <v>244</v>
      </c>
      <c r="I454" t="s">
        <v>535</v>
      </c>
      <c r="J454" s="5">
        <v>40801</v>
      </c>
      <c r="K454" t="s">
        <v>509</v>
      </c>
    </row>
    <row r="455" spans="1:18" x14ac:dyDescent="0.3">
      <c r="A455">
        <v>1750</v>
      </c>
      <c r="B455" s="37" t="s">
        <v>2507</v>
      </c>
      <c r="C455" s="38" t="s">
        <v>391</v>
      </c>
      <c r="D455" s="4" t="s">
        <v>599</v>
      </c>
      <c r="E455" t="s">
        <v>89</v>
      </c>
      <c r="F455" t="s">
        <v>215</v>
      </c>
      <c r="G455" s="4" t="s">
        <v>142</v>
      </c>
      <c r="H455" s="4" t="s">
        <v>244</v>
      </c>
      <c r="I455" t="s">
        <v>535</v>
      </c>
      <c r="J455" s="5">
        <v>40808</v>
      </c>
      <c r="K455" t="s">
        <v>509</v>
      </c>
      <c r="L455" s="4" t="str">
        <f ca="1">IF(OFFSET(N455,,$C$4)="X","X","")</f>
        <v/>
      </c>
      <c r="M455" s="6"/>
      <c r="N455" s="6"/>
      <c r="O455" s="4"/>
      <c r="P455" s="4"/>
    </row>
    <row r="456" spans="1:18" x14ac:dyDescent="0.3">
      <c r="A456">
        <v>6136</v>
      </c>
      <c r="B456" s="37" t="s">
        <v>2508</v>
      </c>
      <c r="C456" s="38" t="s">
        <v>289</v>
      </c>
      <c r="D456" s="4" t="s">
        <v>599</v>
      </c>
      <c r="E456">
        <v>30601</v>
      </c>
      <c r="F456" t="s">
        <v>224</v>
      </c>
      <c r="G456" s="4" t="s">
        <v>244</v>
      </c>
      <c r="H456" s="4" t="s">
        <v>244</v>
      </c>
      <c r="I456" t="s">
        <v>535</v>
      </c>
      <c r="J456" s="5">
        <v>40830</v>
      </c>
      <c r="K456" t="s">
        <v>509</v>
      </c>
      <c r="L456" s="4"/>
      <c r="M456" s="6"/>
      <c r="N456" s="6"/>
      <c r="O456" s="4"/>
      <c r="P456" s="4"/>
      <c r="Q456" s="4"/>
      <c r="R456" s="4"/>
    </row>
    <row r="457" spans="1:18" x14ac:dyDescent="0.3">
      <c r="A457">
        <v>1417</v>
      </c>
      <c r="B457" s="37" t="s">
        <v>2454</v>
      </c>
      <c r="C457" s="38" t="s">
        <v>336</v>
      </c>
      <c r="D457" s="4" t="s">
        <v>599</v>
      </c>
      <c r="E457">
        <v>51429</v>
      </c>
      <c r="F457" t="s">
        <v>217</v>
      </c>
      <c r="G457" s="4" t="s">
        <v>244</v>
      </c>
      <c r="H457" s="4" t="s">
        <v>244</v>
      </c>
      <c r="I457" t="s">
        <v>535</v>
      </c>
      <c r="J457" s="5">
        <v>40875</v>
      </c>
      <c r="K457" t="s">
        <v>509</v>
      </c>
      <c r="L457" s="4"/>
      <c r="M457" s="6"/>
      <c r="N457" s="6"/>
      <c r="O457" s="4"/>
      <c r="P457" s="4"/>
      <c r="Q457" s="4"/>
      <c r="R457" s="4"/>
    </row>
    <row r="458" spans="1:18" x14ac:dyDescent="0.3">
      <c r="A458">
        <v>1763</v>
      </c>
      <c r="B458" s="37" t="s">
        <v>2509</v>
      </c>
      <c r="C458" s="38" t="s">
        <v>290</v>
      </c>
      <c r="D458" s="4" t="s">
        <v>599</v>
      </c>
      <c r="E458">
        <v>51911</v>
      </c>
      <c r="F458" t="s">
        <v>218</v>
      </c>
      <c r="G458" s="4" t="s">
        <v>244</v>
      </c>
      <c r="H458" s="4" t="s">
        <v>244</v>
      </c>
      <c r="I458" t="s">
        <v>535</v>
      </c>
      <c r="J458" s="5">
        <v>40875</v>
      </c>
      <c r="K458" t="s">
        <v>509</v>
      </c>
      <c r="L458" s="4" t="str">
        <f ca="1">IF(OFFSET(N458,,$C$4)="X","X","")</f>
        <v/>
      </c>
      <c r="M458" s="6"/>
      <c r="N458" s="6"/>
      <c r="O458" s="4"/>
      <c r="P458" s="4"/>
      <c r="Q458" s="4"/>
      <c r="R458" s="4"/>
    </row>
    <row r="459" spans="1:18" x14ac:dyDescent="0.3">
      <c r="A459">
        <v>3161</v>
      </c>
      <c r="B459" s="37" t="s">
        <v>2510</v>
      </c>
      <c r="C459" s="38" t="s">
        <v>435</v>
      </c>
      <c r="D459" s="4" t="s">
        <v>599</v>
      </c>
      <c r="E459" t="s">
        <v>135</v>
      </c>
      <c r="F459" t="s">
        <v>214</v>
      </c>
      <c r="G459" s="4" t="s">
        <v>142</v>
      </c>
      <c r="H459" s="4" t="s">
        <v>244</v>
      </c>
      <c r="I459" t="s">
        <v>535</v>
      </c>
      <c r="J459" s="5">
        <v>40875</v>
      </c>
      <c r="K459" t="s">
        <v>509</v>
      </c>
      <c r="L459" s="4"/>
      <c r="M459" s="6"/>
      <c r="N459" s="6"/>
      <c r="O459" s="4"/>
      <c r="P459" s="4"/>
    </row>
    <row r="460" spans="1:18" x14ac:dyDescent="0.3">
      <c r="A460">
        <v>3173</v>
      </c>
      <c r="B460" s="37" t="s">
        <v>2511</v>
      </c>
      <c r="C460" s="38" t="s">
        <v>437</v>
      </c>
      <c r="D460" s="4" t="s">
        <v>599</v>
      </c>
      <c r="E460" t="s">
        <v>137</v>
      </c>
      <c r="F460" t="s">
        <v>214</v>
      </c>
      <c r="G460" s="4" t="s">
        <v>142</v>
      </c>
      <c r="H460" s="4" t="s">
        <v>244</v>
      </c>
      <c r="I460" t="s">
        <v>535</v>
      </c>
      <c r="J460" s="5">
        <v>40892</v>
      </c>
      <c r="K460" t="s">
        <v>509</v>
      </c>
      <c r="L460" s="4"/>
      <c r="M460" s="6"/>
      <c r="N460" s="6"/>
      <c r="O460" s="4"/>
      <c r="P460" s="4"/>
    </row>
    <row r="461" spans="1:18" x14ac:dyDescent="0.3">
      <c r="A461">
        <v>1800</v>
      </c>
      <c r="B461" s="37" t="s">
        <v>2512</v>
      </c>
      <c r="C461" s="38" t="s">
        <v>395</v>
      </c>
      <c r="D461" s="4" t="s">
        <v>599</v>
      </c>
      <c r="E461" t="s">
        <v>93</v>
      </c>
      <c r="F461" t="s">
        <v>217</v>
      </c>
      <c r="G461" s="4" t="s">
        <v>142</v>
      </c>
      <c r="H461" s="4" t="s">
        <v>244</v>
      </c>
      <c r="I461" t="s">
        <v>535</v>
      </c>
      <c r="J461" s="5">
        <v>40924</v>
      </c>
      <c r="K461" t="s">
        <v>509</v>
      </c>
      <c r="L461" s="4"/>
      <c r="M461" s="6"/>
      <c r="N461" s="6"/>
      <c r="O461" s="4"/>
      <c r="P461" s="4"/>
    </row>
    <row r="462" spans="1:18" x14ac:dyDescent="0.3">
      <c r="A462">
        <v>2297</v>
      </c>
      <c r="B462" s="37" t="s">
        <v>2513</v>
      </c>
      <c r="C462" s="38" t="s">
        <v>569</v>
      </c>
      <c r="D462" s="4" t="s">
        <v>599</v>
      </c>
      <c r="E462">
        <v>40318</v>
      </c>
      <c r="F462" t="s">
        <v>223</v>
      </c>
      <c r="G462" s="4" t="s">
        <v>244</v>
      </c>
      <c r="H462" s="4" t="s">
        <v>244</v>
      </c>
      <c r="I462" t="s">
        <v>535</v>
      </c>
      <c r="J462" s="5">
        <v>40945</v>
      </c>
      <c r="K462" t="s">
        <v>509</v>
      </c>
      <c r="L462" s="4" t="str">
        <f ca="1">IF(OFFSET(N462,,$C$4)="X","X","")</f>
        <v/>
      </c>
      <c r="M462" s="6"/>
      <c r="N462" s="6"/>
      <c r="O462" s="4"/>
      <c r="P462" s="4"/>
      <c r="Q462" s="4"/>
    </row>
    <row r="463" spans="1:18" x14ac:dyDescent="0.3">
      <c r="A463">
        <v>6079</v>
      </c>
      <c r="B463" s="37" t="s">
        <v>2514</v>
      </c>
      <c r="C463" s="38" t="s">
        <v>245</v>
      </c>
      <c r="D463" s="4" t="s">
        <v>599</v>
      </c>
      <c r="E463">
        <v>61304</v>
      </c>
      <c r="F463" t="s">
        <v>221</v>
      </c>
      <c r="G463" s="4" t="s">
        <v>244</v>
      </c>
      <c r="H463" s="4" t="s">
        <v>244</v>
      </c>
      <c r="I463" t="s">
        <v>535</v>
      </c>
      <c r="J463" s="5">
        <v>40945</v>
      </c>
      <c r="K463" t="s">
        <v>509</v>
      </c>
      <c r="L463" s="4" t="str">
        <f ca="1">IF(OFFSET(N463,,$C$4)="X","X","")</f>
        <v/>
      </c>
      <c r="M463" s="6"/>
      <c r="N463" s="6"/>
      <c r="O463" s="4"/>
      <c r="P463" s="4"/>
      <c r="Q463" s="4"/>
    </row>
    <row r="464" spans="1:18" x14ac:dyDescent="0.3">
      <c r="A464">
        <v>3185</v>
      </c>
      <c r="B464" s="37" t="s">
        <v>2574</v>
      </c>
      <c r="C464" s="38" t="s">
        <v>439</v>
      </c>
      <c r="D464" s="4" t="s">
        <v>599</v>
      </c>
      <c r="E464" t="s">
        <v>139</v>
      </c>
      <c r="F464" t="s">
        <v>222</v>
      </c>
      <c r="G464" s="4" t="s">
        <v>142</v>
      </c>
      <c r="H464" s="4" t="s">
        <v>244</v>
      </c>
      <c r="I464" t="s">
        <v>535</v>
      </c>
      <c r="J464" s="5">
        <v>41032</v>
      </c>
      <c r="K464" t="s">
        <v>509</v>
      </c>
      <c r="L464" s="4"/>
      <c r="M464" s="6"/>
      <c r="N464" s="6"/>
      <c r="O464" s="4"/>
      <c r="P464" s="4"/>
      <c r="Q464" s="4"/>
      <c r="R464" s="4"/>
    </row>
    <row r="465" spans="1:45" x14ac:dyDescent="0.3">
      <c r="A465">
        <v>3190</v>
      </c>
      <c r="B465" s="37" t="s">
        <v>2583</v>
      </c>
      <c r="C465" s="38" t="s">
        <v>441</v>
      </c>
      <c r="D465" s="4" t="s">
        <v>599</v>
      </c>
      <c r="E465" t="s">
        <v>149</v>
      </c>
      <c r="F465" t="s">
        <v>214</v>
      </c>
      <c r="G465" s="4" t="s">
        <v>142</v>
      </c>
      <c r="H465" s="4" t="s">
        <v>244</v>
      </c>
      <c r="I465" t="s">
        <v>535</v>
      </c>
      <c r="J465" s="5">
        <v>41040</v>
      </c>
      <c r="K465" t="s">
        <v>509</v>
      </c>
      <c r="L465" s="4"/>
      <c r="M465" s="6"/>
      <c r="N465" s="6"/>
      <c r="O465" s="4"/>
      <c r="P465" s="4"/>
      <c r="Q465" s="4"/>
      <c r="R465" s="4"/>
    </row>
    <row r="466" spans="1:45" x14ac:dyDescent="0.3">
      <c r="A466">
        <v>898</v>
      </c>
      <c r="B466" s="37" t="s">
        <v>2609</v>
      </c>
      <c r="C466" s="38" t="s">
        <v>362</v>
      </c>
      <c r="D466" s="4" t="s">
        <v>599</v>
      </c>
      <c r="E466" t="s">
        <v>60</v>
      </c>
      <c r="F466" t="s">
        <v>215</v>
      </c>
      <c r="G466" s="4" t="s">
        <v>142</v>
      </c>
      <c r="H466" s="4" t="s">
        <v>244</v>
      </c>
      <c r="I466" t="s">
        <v>535</v>
      </c>
      <c r="J466" s="5">
        <v>41057</v>
      </c>
      <c r="K466" t="s">
        <v>509</v>
      </c>
      <c r="L466" s="4" t="s">
        <v>2610</v>
      </c>
      <c r="M466" s="6"/>
      <c r="N466" s="6"/>
      <c r="O466" s="4"/>
      <c r="P466" s="4"/>
      <c r="Q466" s="4"/>
      <c r="R466" s="4"/>
    </row>
    <row r="467" spans="1:45" x14ac:dyDescent="0.3">
      <c r="A467">
        <v>1734</v>
      </c>
      <c r="B467" s="37" t="s">
        <v>3559</v>
      </c>
      <c r="C467" s="38" t="s">
        <v>389</v>
      </c>
      <c r="D467" s="4" t="s">
        <v>565</v>
      </c>
      <c r="E467" t="s">
        <v>87</v>
      </c>
      <c r="F467" t="s">
        <v>215</v>
      </c>
      <c r="G467" s="4" t="s">
        <v>142</v>
      </c>
      <c r="H467" s="4" t="s">
        <v>244</v>
      </c>
      <c r="I467" t="s">
        <v>535</v>
      </c>
      <c r="J467" s="5">
        <v>41057</v>
      </c>
      <c r="K467" t="s">
        <v>509</v>
      </c>
      <c r="L467" s="4" t="str">
        <f ca="1">IF(OFFSET(N467,,$C$4)="X","X","")</f>
        <v/>
      </c>
      <c r="M467" s="6"/>
      <c r="N467" s="6"/>
      <c r="O467" s="4"/>
      <c r="P467" s="4"/>
      <c r="Q467" s="4"/>
      <c r="R467" s="4"/>
    </row>
    <row r="468" spans="1:45" x14ac:dyDescent="0.3">
      <c r="A468">
        <v>6168</v>
      </c>
      <c r="B468" s="37" t="s">
        <v>3560</v>
      </c>
      <c r="C468" s="38" t="s">
        <v>552</v>
      </c>
      <c r="D468" s="4" t="s">
        <v>565</v>
      </c>
      <c r="E468" t="s">
        <v>553</v>
      </c>
      <c r="F468" t="s">
        <v>223</v>
      </c>
      <c r="G468" s="4" t="s">
        <v>142</v>
      </c>
      <c r="H468" s="4" t="s">
        <v>244</v>
      </c>
      <c r="I468" t="s">
        <v>535</v>
      </c>
      <c r="J468" s="5">
        <v>41060</v>
      </c>
      <c r="K468" t="s">
        <v>509</v>
      </c>
      <c r="L468" s="4"/>
      <c r="M468" s="6"/>
      <c r="N468" s="6"/>
      <c r="O468" s="4"/>
      <c r="P468" s="4"/>
      <c r="Q468" s="4"/>
      <c r="R468" s="4"/>
    </row>
    <row r="469" spans="1:45" x14ac:dyDescent="0.3">
      <c r="A469">
        <v>463</v>
      </c>
      <c r="B469" s="37" t="s">
        <v>3561</v>
      </c>
      <c r="C469" s="38" t="s">
        <v>354</v>
      </c>
      <c r="D469" s="4" t="s">
        <v>565</v>
      </c>
      <c r="E469" t="s">
        <v>50</v>
      </c>
      <c r="F469" t="s">
        <v>217</v>
      </c>
      <c r="G469" s="4" t="s">
        <v>142</v>
      </c>
      <c r="H469" s="4" t="s">
        <v>244</v>
      </c>
      <c r="I469" t="s">
        <v>535</v>
      </c>
      <c r="J469" s="5">
        <v>41074</v>
      </c>
      <c r="K469" t="s">
        <v>509</v>
      </c>
      <c r="L469" s="4" t="str">
        <f ca="1">IF(OFFSET(N469,,$C$4)="X","X","")</f>
        <v/>
      </c>
      <c r="M469" s="6"/>
      <c r="N469" s="6"/>
      <c r="O469" s="4"/>
      <c r="P469" s="4"/>
      <c r="Q469" s="4"/>
      <c r="R469" s="4"/>
    </row>
    <row r="470" spans="1:45" x14ac:dyDescent="0.3">
      <c r="A470">
        <v>1922</v>
      </c>
      <c r="B470" s="37" t="s">
        <v>3562</v>
      </c>
      <c r="C470" s="38" t="s">
        <v>406</v>
      </c>
      <c r="D470" s="4" t="s">
        <v>565</v>
      </c>
      <c r="E470" t="s">
        <v>105</v>
      </c>
      <c r="F470" t="s">
        <v>217</v>
      </c>
      <c r="G470" s="4" t="s">
        <v>142</v>
      </c>
      <c r="H470" s="4" t="s">
        <v>244</v>
      </c>
      <c r="I470" t="s">
        <v>535</v>
      </c>
      <c r="J470" s="5">
        <v>41074</v>
      </c>
      <c r="K470" t="s">
        <v>509</v>
      </c>
      <c r="L470" s="4" t="str">
        <f ca="1">IF(OFFSET(N470,,$C$4)="X","X","")</f>
        <v/>
      </c>
      <c r="M470" s="6"/>
      <c r="N470" s="6"/>
      <c r="O470" s="4"/>
      <c r="P470" s="4"/>
      <c r="Q470" s="4"/>
      <c r="R470" s="4"/>
    </row>
    <row r="471" spans="1:45" x14ac:dyDescent="0.3">
      <c r="A471">
        <v>1289</v>
      </c>
      <c r="B471" s="37" t="s">
        <v>2614</v>
      </c>
      <c r="C471" s="38" t="s">
        <v>250</v>
      </c>
      <c r="D471" s="4" t="s">
        <v>599</v>
      </c>
      <c r="E471">
        <v>51404</v>
      </c>
      <c r="F471" t="s">
        <v>217</v>
      </c>
      <c r="G471" s="4" t="s">
        <v>244</v>
      </c>
      <c r="H471" s="4" t="s">
        <v>244</v>
      </c>
      <c r="I471" t="s">
        <v>535</v>
      </c>
      <c r="J471" s="5">
        <v>41064</v>
      </c>
      <c r="K471" t="s">
        <v>509</v>
      </c>
      <c r="L471" s="4" t="s">
        <v>2610</v>
      </c>
      <c r="M471" s="6"/>
      <c r="N471" s="6" t="s">
        <v>2610</v>
      </c>
      <c r="O471" s="4"/>
      <c r="P471" s="4"/>
      <c r="Q471" s="4"/>
      <c r="R471" s="4"/>
    </row>
    <row r="472" spans="1:45" x14ac:dyDescent="0.3">
      <c r="A472">
        <v>1898</v>
      </c>
      <c r="B472" s="37" t="s">
        <v>2631</v>
      </c>
      <c r="C472" s="38" t="s">
        <v>268</v>
      </c>
      <c r="D472" s="4" t="s">
        <v>599</v>
      </c>
      <c r="E472">
        <v>50606</v>
      </c>
      <c r="F472" t="s">
        <v>227</v>
      </c>
      <c r="G472" s="4" t="s">
        <v>244</v>
      </c>
      <c r="H472" s="4" t="s">
        <v>244</v>
      </c>
      <c r="I472" t="s">
        <v>535</v>
      </c>
      <c r="J472" s="5">
        <v>41064</v>
      </c>
      <c r="K472" t="s">
        <v>509</v>
      </c>
      <c r="L472" s="4"/>
      <c r="M472" s="6"/>
      <c r="N472" s="6"/>
      <c r="O472" s="4"/>
      <c r="P472" s="4"/>
      <c r="Q472" s="4"/>
      <c r="R472" s="4"/>
    </row>
    <row r="473" spans="1:45" x14ac:dyDescent="0.3">
      <c r="A473" s="10">
        <v>1985</v>
      </c>
      <c r="B473" s="37" t="s">
        <v>2632</v>
      </c>
      <c r="C473" s="38" t="s">
        <v>2546</v>
      </c>
      <c r="D473" s="4" t="s">
        <v>599</v>
      </c>
      <c r="E473" t="s">
        <v>2547</v>
      </c>
      <c r="F473" t="s">
        <v>217</v>
      </c>
      <c r="G473" s="4" t="s">
        <v>2567</v>
      </c>
      <c r="H473" s="4" t="s">
        <v>244</v>
      </c>
      <c r="I473" t="s">
        <v>535</v>
      </c>
      <c r="J473" s="5">
        <v>41064</v>
      </c>
      <c r="K473" t="s">
        <v>509</v>
      </c>
      <c r="L473" s="4" t="s">
        <v>2610</v>
      </c>
      <c r="M473" s="6"/>
      <c r="N473" s="6"/>
      <c r="O473" s="40"/>
      <c r="P473" s="40"/>
      <c r="Q473" s="40"/>
      <c r="R473" s="4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/>
    </row>
    <row r="474" spans="1:45" x14ac:dyDescent="0.3">
      <c r="A474">
        <v>977</v>
      </c>
      <c r="B474" s="37" t="s">
        <v>2633</v>
      </c>
      <c r="C474" s="38" t="s">
        <v>297</v>
      </c>
      <c r="D474" s="4" t="s">
        <v>599</v>
      </c>
      <c r="E474">
        <v>41625</v>
      </c>
      <c r="F474" t="s">
        <v>215</v>
      </c>
      <c r="G474" s="4" t="s">
        <v>244</v>
      </c>
      <c r="H474" s="4" t="s">
        <v>244</v>
      </c>
      <c r="I474" t="s">
        <v>535</v>
      </c>
      <c r="J474" s="5">
        <v>41106</v>
      </c>
      <c r="K474" t="s">
        <v>509</v>
      </c>
      <c r="L474" s="4"/>
      <c r="M474" s="6"/>
      <c r="N474" s="6"/>
      <c r="O474" s="4"/>
      <c r="P474" s="4"/>
      <c r="Q474" s="4"/>
      <c r="R474" s="4"/>
    </row>
    <row r="475" spans="1:45" x14ac:dyDescent="0.3">
      <c r="A475">
        <v>1573</v>
      </c>
      <c r="B475" s="37" t="s">
        <v>2634</v>
      </c>
      <c r="C475" s="38" t="s">
        <v>379</v>
      </c>
      <c r="D475" s="4" t="s">
        <v>599</v>
      </c>
      <c r="E475" t="s">
        <v>77</v>
      </c>
      <c r="F475" t="s">
        <v>215</v>
      </c>
      <c r="G475" s="4" t="s">
        <v>142</v>
      </c>
      <c r="H475" s="4" t="s">
        <v>244</v>
      </c>
      <c r="I475" t="s">
        <v>535</v>
      </c>
      <c r="J475" s="5">
        <v>41106</v>
      </c>
      <c r="K475" t="s">
        <v>509</v>
      </c>
      <c r="L475" s="4"/>
      <c r="M475" s="6"/>
      <c r="N475" s="6"/>
      <c r="O475" s="4"/>
      <c r="P475" s="4"/>
      <c r="Q475" s="4"/>
      <c r="R475" s="4"/>
      <c r="AS475"/>
    </row>
    <row r="476" spans="1:45" x14ac:dyDescent="0.3">
      <c r="A476">
        <v>1872</v>
      </c>
      <c r="B476" s="37" t="s">
        <v>2635</v>
      </c>
      <c r="C476" s="38" t="s">
        <v>503</v>
      </c>
      <c r="D476" s="4" t="s">
        <v>599</v>
      </c>
      <c r="E476" t="s">
        <v>101</v>
      </c>
      <c r="F476" t="s">
        <v>220</v>
      </c>
      <c r="G476" s="4" t="s">
        <v>142</v>
      </c>
      <c r="H476" s="4" t="s">
        <v>244</v>
      </c>
      <c r="I476" t="s">
        <v>535</v>
      </c>
      <c r="J476" s="5">
        <v>41093</v>
      </c>
      <c r="K476" t="s">
        <v>509</v>
      </c>
      <c r="L476" s="4" t="str">
        <f ca="1">IF(OFFSET(N476,,$C$4)="X","X","")</f>
        <v/>
      </c>
      <c r="M476" s="6"/>
      <c r="N476" s="6"/>
      <c r="O476" s="4"/>
      <c r="P476" s="4"/>
      <c r="Q476" s="4"/>
      <c r="R476" s="4"/>
      <c r="AS476"/>
    </row>
    <row r="477" spans="1:45" x14ac:dyDescent="0.3">
      <c r="A477">
        <v>1102</v>
      </c>
      <c r="B477" s="37" t="s">
        <v>2655</v>
      </c>
      <c r="C477" s="38" t="s">
        <v>2372</v>
      </c>
      <c r="D477" s="4"/>
      <c r="E477">
        <v>90204</v>
      </c>
      <c r="F477" t="s">
        <v>220</v>
      </c>
      <c r="G477" s="4" t="s">
        <v>244</v>
      </c>
      <c r="H477" s="4" t="s">
        <v>244</v>
      </c>
      <c r="I477" t="s">
        <v>535</v>
      </c>
      <c r="J477" s="5">
        <v>41128</v>
      </c>
      <c r="K477" t="s">
        <v>509</v>
      </c>
      <c r="L477" s="4" t="s">
        <v>2610</v>
      </c>
      <c r="M477" s="6"/>
      <c r="N477" s="6"/>
      <c r="O477" s="4"/>
      <c r="P477" s="4"/>
      <c r="Q477" s="4"/>
      <c r="R477" s="4"/>
    </row>
    <row r="478" spans="1:45" x14ac:dyDescent="0.3">
      <c r="A478">
        <v>3202</v>
      </c>
      <c r="B478" t="s">
        <v>2656</v>
      </c>
      <c r="C478" t="s">
        <v>2544</v>
      </c>
      <c r="E478">
        <v>30611</v>
      </c>
      <c r="F478" t="s">
        <v>224</v>
      </c>
      <c r="G478" s="4" t="s">
        <v>244</v>
      </c>
      <c r="H478" s="4" t="s">
        <v>244</v>
      </c>
      <c r="I478" t="s">
        <v>535</v>
      </c>
      <c r="J478" s="5">
        <v>41128</v>
      </c>
      <c r="K478" t="s">
        <v>509</v>
      </c>
    </row>
    <row r="479" spans="1:45" s="10" customFormat="1" x14ac:dyDescent="0.3">
      <c r="A479">
        <v>1446</v>
      </c>
      <c r="B479" s="37" t="s">
        <v>2666</v>
      </c>
      <c r="C479" s="38" t="s">
        <v>2389</v>
      </c>
      <c r="D479" s="4" t="s">
        <v>599</v>
      </c>
      <c r="E479">
        <v>51406</v>
      </c>
      <c r="F479" t="s">
        <v>217</v>
      </c>
      <c r="G479" s="4" t="s">
        <v>244</v>
      </c>
      <c r="H479" s="4" t="s">
        <v>244</v>
      </c>
      <c r="I479" t="s">
        <v>535</v>
      </c>
      <c r="J479" s="5">
        <v>41128</v>
      </c>
      <c r="K479" t="s">
        <v>509</v>
      </c>
      <c r="L479" s="4" t="s">
        <v>2610</v>
      </c>
      <c r="M479" s="6"/>
      <c r="N479" s="6"/>
      <c r="O479" s="4"/>
      <c r="P479" s="4"/>
      <c r="Q479" s="4"/>
      <c r="R479" s="4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</row>
    <row r="480" spans="1:45" x14ac:dyDescent="0.3">
      <c r="A480">
        <v>1819</v>
      </c>
      <c r="B480" s="37" t="s">
        <v>2692</v>
      </c>
      <c r="C480" s="38" t="s">
        <v>2394</v>
      </c>
      <c r="D480" s="4" t="s">
        <v>599</v>
      </c>
      <c r="E480">
        <v>41656</v>
      </c>
      <c r="F480" t="s">
        <v>215</v>
      </c>
      <c r="G480" s="4" t="s">
        <v>244</v>
      </c>
      <c r="H480" s="4" t="s">
        <v>244</v>
      </c>
      <c r="I480" t="s">
        <v>535</v>
      </c>
      <c r="J480" s="5">
        <v>41128</v>
      </c>
      <c r="K480" t="s">
        <v>509</v>
      </c>
      <c r="L480" s="4" t="s">
        <v>2610</v>
      </c>
      <c r="M480" s="6"/>
      <c r="N480" s="6"/>
      <c r="O480" s="4"/>
      <c r="P480" s="4"/>
      <c r="Q480" s="4"/>
      <c r="R480" s="4"/>
    </row>
    <row r="481" spans="1:45" x14ac:dyDescent="0.3">
      <c r="A481">
        <v>1837</v>
      </c>
      <c r="B481" s="37" t="s">
        <v>2696</v>
      </c>
      <c r="C481" s="38" t="s">
        <v>401</v>
      </c>
      <c r="D481" s="4" t="s">
        <v>599</v>
      </c>
      <c r="E481" t="s">
        <v>99</v>
      </c>
      <c r="F481" t="s">
        <v>215</v>
      </c>
      <c r="G481" s="4" t="s">
        <v>142</v>
      </c>
      <c r="H481" s="4" t="s">
        <v>244</v>
      </c>
      <c r="I481" t="s">
        <v>535</v>
      </c>
      <c r="J481" s="5">
        <v>41176</v>
      </c>
      <c r="K481" t="s">
        <v>509</v>
      </c>
      <c r="L481" s="4" t="s">
        <v>2610</v>
      </c>
      <c r="M481" s="6"/>
      <c r="N481" s="6"/>
      <c r="O481" s="4"/>
      <c r="P481" s="4"/>
      <c r="Q481" s="4"/>
      <c r="R481" s="4"/>
      <c r="AS481"/>
    </row>
    <row r="482" spans="1:45" s="10" customFormat="1" x14ac:dyDescent="0.3">
      <c r="A482">
        <v>4044</v>
      </c>
      <c r="B482" s="37" t="s">
        <v>2697</v>
      </c>
      <c r="C482" s="38" t="s">
        <v>2638</v>
      </c>
      <c r="D482" s="4" t="s">
        <v>599</v>
      </c>
      <c r="E482" s="10">
        <v>51446</v>
      </c>
      <c r="F482" t="s">
        <v>217</v>
      </c>
      <c r="G482" s="4" t="s">
        <v>244</v>
      </c>
      <c r="H482" s="4" t="s">
        <v>244</v>
      </c>
      <c r="I482" t="s">
        <v>535</v>
      </c>
      <c r="J482" s="5">
        <v>41176</v>
      </c>
      <c r="K482" t="s">
        <v>509</v>
      </c>
      <c r="L482" s="4" t="s">
        <v>2610</v>
      </c>
      <c r="M482" s="6"/>
      <c r="N482" s="6"/>
      <c r="O482" s="4"/>
      <c r="P482" s="4"/>
      <c r="Q482" s="4"/>
      <c r="R482" s="4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</row>
    <row r="483" spans="1:45" x14ac:dyDescent="0.3">
      <c r="A483">
        <v>6213</v>
      </c>
      <c r="B483" s="37" t="s">
        <v>2700</v>
      </c>
      <c r="C483" s="38" t="s">
        <v>483</v>
      </c>
      <c r="D483" s="4" t="s">
        <v>599</v>
      </c>
      <c r="E483" t="s">
        <v>190</v>
      </c>
      <c r="F483" t="s">
        <v>226</v>
      </c>
      <c r="G483" s="4" t="s">
        <v>142</v>
      </c>
      <c r="H483" s="4" t="s">
        <v>244</v>
      </c>
      <c r="I483" t="s">
        <v>535</v>
      </c>
      <c r="J483" s="5">
        <v>41207</v>
      </c>
      <c r="K483" t="s">
        <v>509</v>
      </c>
      <c r="L483" s="4" t="s">
        <v>2610</v>
      </c>
      <c r="M483" s="6"/>
      <c r="N483" s="6"/>
      <c r="O483" s="4"/>
      <c r="P483" s="4"/>
      <c r="Q483" s="41"/>
      <c r="R483" s="41"/>
      <c r="S483" s="41"/>
      <c r="T483" s="41"/>
      <c r="U483" s="41"/>
      <c r="V483" s="4"/>
      <c r="AS483"/>
    </row>
    <row r="484" spans="1:45" x14ac:dyDescent="0.3">
      <c r="A484">
        <v>3168</v>
      </c>
      <c r="B484" s="37" t="s">
        <v>2702</v>
      </c>
      <c r="C484" s="38" t="s">
        <v>331</v>
      </c>
      <c r="D484" s="4" t="s">
        <v>599</v>
      </c>
      <c r="E484">
        <v>40313</v>
      </c>
      <c r="F484" t="s">
        <v>223</v>
      </c>
      <c r="G484" s="4" t="s">
        <v>244</v>
      </c>
      <c r="H484" s="4" t="s">
        <v>244</v>
      </c>
      <c r="I484" t="s">
        <v>535</v>
      </c>
      <c r="J484" s="5">
        <v>41207</v>
      </c>
      <c r="K484" t="s">
        <v>509</v>
      </c>
      <c r="L484" s="4"/>
      <c r="M484" s="6"/>
      <c r="N484" s="6"/>
      <c r="O484" s="4"/>
      <c r="P484" s="4"/>
      <c r="Q484" s="41"/>
      <c r="R484" s="41"/>
      <c r="S484" s="41"/>
      <c r="T484" s="41"/>
      <c r="U484" s="41"/>
      <c r="V484" s="4"/>
      <c r="AS484"/>
    </row>
    <row r="485" spans="1:45" s="10" customFormat="1" x14ac:dyDescent="0.3">
      <c r="A485">
        <v>1315</v>
      </c>
      <c r="B485" s="37" t="s">
        <v>2701</v>
      </c>
      <c r="C485" s="38" t="s">
        <v>2378</v>
      </c>
      <c r="D485" s="4" t="s">
        <v>599</v>
      </c>
      <c r="E485">
        <v>40312</v>
      </c>
      <c r="F485" t="s">
        <v>223</v>
      </c>
      <c r="G485" s="4" t="s">
        <v>244</v>
      </c>
      <c r="H485" s="4" t="s">
        <v>244</v>
      </c>
      <c r="I485" t="s">
        <v>535</v>
      </c>
      <c r="J485" s="5">
        <v>41136</v>
      </c>
      <c r="K485" t="s">
        <v>509</v>
      </c>
      <c r="L485" s="4" t="s">
        <v>2610</v>
      </c>
      <c r="M485" s="6"/>
      <c r="N485" s="6" t="s">
        <v>2610</v>
      </c>
      <c r="O485" s="4"/>
      <c r="P485" s="4"/>
      <c r="Q485" s="41"/>
      <c r="R485" s="41"/>
      <c r="S485" s="41"/>
      <c r="T485" s="41"/>
      <c r="U485" s="41"/>
      <c r="V485" s="4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</row>
    <row r="486" spans="1:45" x14ac:dyDescent="0.3">
      <c r="A486">
        <v>1804</v>
      </c>
      <c r="B486" s="37" t="s">
        <v>2760</v>
      </c>
      <c r="C486" s="38" t="s">
        <v>293</v>
      </c>
      <c r="D486" s="4" t="s">
        <v>599</v>
      </c>
      <c r="E486">
        <v>20409</v>
      </c>
      <c r="F486" t="s">
        <v>216</v>
      </c>
      <c r="G486" s="4" t="s">
        <v>244</v>
      </c>
      <c r="H486" s="4" t="s">
        <v>244</v>
      </c>
      <c r="I486" t="s">
        <v>535</v>
      </c>
      <c r="J486" s="5">
        <v>41257</v>
      </c>
      <c r="K486" t="s">
        <v>509</v>
      </c>
      <c r="L486" s="4" t="s">
        <v>2610</v>
      </c>
      <c r="M486" s="6"/>
      <c r="N486" s="6"/>
      <c r="O486" s="4"/>
      <c r="P486" s="4"/>
      <c r="Q486" s="41"/>
      <c r="R486" s="41"/>
      <c r="S486" s="41"/>
      <c r="T486" s="41"/>
      <c r="U486" s="41"/>
      <c r="V486" s="4"/>
      <c r="AS486"/>
    </row>
    <row r="487" spans="1:45" x14ac:dyDescent="0.3">
      <c r="A487">
        <v>1860</v>
      </c>
      <c r="B487" s="37" t="s">
        <v>2761</v>
      </c>
      <c r="C487" s="38" t="s">
        <v>248</v>
      </c>
      <c r="D487" s="4" t="s">
        <v>599</v>
      </c>
      <c r="E487">
        <v>90212</v>
      </c>
      <c r="F487" t="s">
        <v>220</v>
      </c>
      <c r="G487" s="4" t="s">
        <v>244</v>
      </c>
      <c r="H487" s="4" t="s">
        <v>244</v>
      </c>
      <c r="I487" t="s">
        <v>535</v>
      </c>
      <c r="J487" s="5">
        <v>41257</v>
      </c>
      <c r="K487" t="s">
        <v>509</v>
      </c>
      <c r="L487" s="4" t="s">
        <v>2610</v>
      </c>
      <c r="M487" s="6"/>
      <c r="N487" s="6"/>
      <c r="O487" s="4"/>
      <c r="P487" s="4"/>
      <c r="Q487" s="41"/>
      <c r="R487" s="41"/>
      <c r="S487" s="41"/>
      <c r="T487" s="41"/>
      <c r="U487" s="41"/>
      <c r="V487" s="4"/>
      <c r="AS487"/>
    </row>
    <row r="488" spans="1:45" s="10" customFormat="1" x14ac:dyDescent="0.3">
      <c r="A488">
        <v>6437</v>
      </c>
      <c r="B488" s="37" t="s">
        <v>2792</v>
      </c>
      <c r="C488" s="38" t="s">
        <v>2382</v>
      </c>
      <c r="D488" s="4" t="s">
        <v>599</v>
      </c>
      <c r="E488" t="s">
        <v>210</v>
      </c>
      <c r="F488" t="s">
        <v>218</v>
      </c>
      <c r="G488" s="4" t="s">
        <v>142</v>
      </c>
      <c r="H488" s="4" t="s">
        <v>244</v>
      </c>
      <c r="I488" t="s">
        <v>535</v>
      </c>
      <c r="J488" s="5">
        <v>41239</v>
      </c>
      <c r="K488" t="s">
        <v>509</v>
      </c>
      <c r="L488" s="4" t="s">
        <v>2610</v>
      </c>
      <c r="M488" s="6"/>
      <c r="N488" s="6"/>
      <c r="O488" s="4"/>
      <c r="P488" s="4"/>
      <c r="Q488" s="41"/>
      <c r="R488" s="41"/>
      <c r="S488" s="41"/>
      <c r="T488" s="41"/>
      <c r="U488" s="41"/>
      <c r="V488" s="4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</row>
    <row r="489" spans="1:45" x14ac:dyDescent="0.3">
      <c r="A489">
        <v>3191</v>
      </c>
      <c r="B489" s="37" t="s">
        <v>2793</v>
      </c>
      <c r="C489" s="38" t="s">
        <v>506</v>
      </c>
      <c r="D489" s="4" t="s">
        <v>599</v>
      </c>
      <c r="E489" t="s">
        <v>340</v>
      </c>
      <c r="F489" t="s">
        <v>216</v>
      </c>
      <c r="G489" s="4" t="s">
        <v>142</v>
      </c>
      <c r="H489" s="4" t="s">
        <v>244</v>
      </c>
      <c r="I489" t="s">
        <v>535</v>
      </c>
      <c r="J489" s="5">
        <v>41253</v>
      </c>
      <c r="K489" t="s">
        <v>509</v>
      </c>
      <c r="L489" s="4"/>
      <c r="M489" s="6"/>
      <c r="N489" s="6"/>
      <c r="O489" s="4"/>
      <c r="P489" s="4"/>
      <c r="Q489" s="41"/>
      <c r="R489" s="41"/>
      <c r="S489" s="41"/>
      <c r="T489" s="41"/>
      <c r="U489" s="41"/>
      <c r="V489" s="4"/>
      <c r="AS489"/>
    </row>
    <row r="490" spans="1:45" x14ac:dyDescent="0.3">
      <c r="A490" s="10">
        <v>6050</v>
      </c>
      <c r="B490" s="37" t="s">
        <v>2845</v>
      </c>
      <c r="C490" s="38" t="s">
        <v>2383</v>
      </c>
      <c r="D490" s="4" t="s">
        <v>599</v>
      </c>
      <c r="E490" t="s">
        <v>2550</v>
      </c>
      <c r="F490" t="s">
        <v>217</v>
      </c>
      <c r="G490" s="4" t="s">
        <v>2567</v>
      </c>
      <c r="H490" s="4" t="s">
        <v>244</v>
      </c>
      <c r="I490" t="s">
        <v>535</v>
      </c>
      <c r="J490" s="5">
        <v>41306</v>
      </c>
      <c r="K490" t="s">
        <v>509</v>
      </c>
      <c r="L490" s="4" t="s">
        <v>2610</v>
      </c>
      <c r="M490" s="6"/>
      <c r="N490" s="6"/>
      <c r="O490" s="40"/>
      <c r="P490" s="40"/>
      <c r="Q490" s="42"/>
      <c r="R490" s="42"/>
      <c r="S490" s="41"/>
      <c r="T490" s="42"/>
      <c r="U490" s="42"/>
      <c r="V490" s="4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/>
    </row>
    <row r="491" spans="1:45" s="10" customFormat="1" x14ac:dyDescent="0.3">
      <c r="A491">
        <v>4058</v>
      </c>
      <c r="B491" s="37" t="s">
        <v>2846</v>
      </c>
      <c r="C491" s="38" t="s">
        <v>2739</v>
      </c>
      <c r="D491" s="4" t="s">
        <v>599</v>
      </c>
      <c r="E491" s="10">
        <v>51448</v>
      </c>
      <c r="F491" t="s">
        <v>217</v>
      </c>
      <c r="G491" s="4" t="s">
        <v>244</v>
      </c>
      <c r="H491" s="4" t="s">
        <v>244</v>
      </c>
      <c r="I491" t="s">
        <v>535</v>
      </c>
      <c r="J491" s="5">
        <v>41306</v>
      </c>
      <c r="K491" t="s">
        <v>509</v>
      </c>
      <c r="L491" s="4" t="s">
        <v>2610</v>
      </c>
      <c r="M491" s="6"/>
      <c r="N491" s="6"/>
      <c r="O491" s="4"/>
      <c r="P491" s="4"/>
      <c r="Q491" s="41"/>
      <c r="R491" s="41"/>
      <c r="S491" s="41"/>
      <c r="T491" s="41"/>
      <c r="U491" s="41"/>
      <c r="V491" s="4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</row>
    <row r="492" spans="1:45" x14ac:dyDescent="0.3">
      <c r="A492" s="10">
        <v>6121</v>
      </c>
      <c r="B492" s="37" t="s">
        <v>2847</v>
      </c>
      <c r="C492" s="38" t="s">
        <v>2385</v>
      </c>
      <c r="D492" s="4" t="s">
        <v>599</v>
      </c>
      <c r="E492" t="s">
        <v>2548</v>
      </c>
      <c r="F492" t="s">
        <v>216</v>
      </c>
      <c r="G492" s="4" t="s">
        <v>2567</v>
      </c>
      <c r="H492" s="4" t="s">
        <v>244</v>
      </c>
      <c r="I492" t="s">
        <v>535</v>
      </c>
      <c r="J492" s="5">
        <v>41306</v>
      </c>
      <c r="K492" t="s">
        <v>509</v>
      </c>
      <c r="L492" s="4" t="s">
        <v>2610</v>
      </c>
      <c r="M492" s="6"/>
      <c r="N492" s="6"/>
      <c r="O492" s="40"/>
      <c r="P492" s="40"/>
      <c r="Q492" s="42"/>
      <c r="R492" s="42"/>
      <c r="S492" s="41"/>
      <c r="T492" s="42"/>
      <c r="U492" s="42"/>
      <c r="V492" s="4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/>
    </row>
    <row r="493" spans="1:45" x14ac:dyDescent="0.3">
      <c r="A493">
        <v>6063</v>
      </c>
      <c r="B493" s="37" t="s">
        <v>2852</v>
      </c>
      <c r="C493" s="38" t="s">
        <v>452</v>
      </c>
      <c r="D493" s="4" t="s">
        <v>599</v>
      </c>
      <c r="E493" t="s">
        <v>159</v>
      </c>
      <c r="F493" t="s">
        <v>217</v>
      </c>
      <c r="G493" s="4" t="s">
        <v>142</v>
      </c>
      <c r="H493" s="4" t="s">
        <v>244</v>
      </c>
      <c r="I493" t="s">
        <v>535</v>
      </c>
      <c r="J493" s="5">
        <v>41306</v>
      </c>
      <c r="K493" t="s">
        <v>509</v>
      </c>
      <c r="L493" s="4" t="s">
        <v>2610</v>
      </c>
      <c r="M493" s="6"/>
      <c r="N493" s="6"/>
      <c r="O493" s="4"/>
      <c r="P493" s="4"/>
      <c r="Q493" s="41"/>
      <c r="R493" s="41"/>
      <c r="S493" s="41"/>
      <c r="T493" s="41"/>
      <c r="U493" s="41"/>
      <c r="V493" s="4"/>
      <c r="AS493"/>
    </row>
    <row r="494" spans="1:45" x14ac:dyDescent="0.3">
      <c r="A494">
        <v>6041</v>
      </c>
      <c r="B494" s="37" t="s">
        <v>2881</v>
      </c>
      <c r="C494" s="38" t="s">
        <v>251</v>
      </c>
      <c r="D494" s="4" t="s">
        <v>599</v>
      </c>
      <c r="E494">
        <v>51402</v>
      </c>
      <c r="F494" t="s">
        <v>217</v>
      </c>
      <c r="G494" s="4" t="s">
        <v>244</v>
      </c>
      <c r="H494" s="4" t="s">
        <v>244</v>
      </c>
      <c r="I494" t="s">
        <v>535</v>
      </c>
      <c r="J494" s="5">
        <v>41332</v>
      </c>
      <c r="K494" t="s">
        <v>509</v>
      </c>
      <c r="L494" s="4" t="s">
        <v>2610</v>
      </c>
      <c r="M494" s="6"/>
      <c r="N494" s="6"/>
      <c r="O494" s="4"/>
      <c r="P494" s="4"/>
      <c r="Q494" s="41"/>
      <c r="R494" s="41"/>
      <c r="S494" s="41"/>
      <c r="T494" s="41"/>
      <c r="U494" s="41"/>
      <c r="V494" s="4"/>
      <c r="AS494"/>
    </row>
    <row r="495" spans="1:45" s="10" customFormat="1" x14ac:dyDescent="0.3">
      <c r="A495">
        <v>4085</v>
      </c>
      <c r="B495" s="46" t="s">
        <v>2912</v>
      </c>
      <c r="C495" s="38" t="s">
        <v>2854</v>
      </c>
      <c r="D495" s="4" t="s">
        <v>599</v>
      </c>
      <c r="E495" s="10">
        <v>51452</v>
      </c>
      <c r="F495" t="s">
        <v>217</v>
      </c>
      <c r="G495" s="4" t="s">
        <v>244</v>
      </c>
      <c r="H495" s="4" t="s">
        <v>244</v>
      </c>
      <c r="I495" t="s">
        <v>535</v>
      </c>
      <c r="J495" s="5">
        <v>41393</v>
      </c>
      <c r="K495" t="s">
        <v>509</v>
      </c>
      <c r="L495" s="4" t="s">
        <v>2610</v>
      </c>
      <c r="M495" s="6"/>
      <c r="N495" s="6"/>
      <c r="O495" s="4"/>
      <c r="P495" s="4"/>
      <c r="Q495" s="41"/>
      <c r="R495" s="41"/>
      <c r="S495" s="41"/>
      <c r="T495" s="41"/>
      <c r="U495" s="41"/>
      <c r="V495" s="4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</row>
    <row r="496" spans="1:45" s="10" customFormat="1" x14ac:dyDescent="0.3">
      <c r="A496">
        <v>4046</v>
      </c>
      <c r="B496" s="37" t="s">
        <v>3563</v>
      </c>
      <c r="C496" s="38" t="s">
        <v>2641</v>
      </c>
      <c r="D496" s="4" t="s">
        <v>599</v>
      </c>
      <c r="E496" s="10">
        <v>41676</v>
      </c>
      <c r="F496" t="s">
        <v>215</v>
      </c>
      <c r="G496" s="4" t="s">
        <v>244</v>
      </c>
      <c r="H496" s="4" t="s">
        <v>244</v>
      </c>
      <c r="I496" t="s">
        <v>535</v>
      </c>
      <c r="J496" s="5">
        <v>41393</v>
      </c>
      <c r="K496" t="s">
        <v>509</v>
      </c>
      <c r="L496" s="4" t="str">
        <f ca="1">IF(OFFSET(N496,,$C$4)="X","X","")</f>
        <v/>
      </c>
      <c r="M496" s="6"/>
      <c r="N496" s="6"/>
      <c r="O496" s="4"/>
      <c r="P496" s="4"/>
      <c r="Q496" s="41"/>
      <c r="R496" s="41"/>
      <c r="S496" s="41"/>
      <c r="T496" s="41"/>
      <c r="U496" s="41"/>
      <c r="V496" s="4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</row>
    <row r="497" spans="1:45" x14ac:dyDescent="0.3">
      <c r="A497">
        <v>432</v>
      </c>
      <c r="B497" s="37" t="s">
        <v>3564</v>
      </c>
      <c r="C497" s="38" t="s">
        <v>348</v>
      </c>
      <c r="D497" s="4" t="s">
        <v>599</v>
      </c>
      <c r="E497" t="s">
        <v>42</v>
      </c>
      <c r="F497" t="s">
        <v>218</v>
      </c>
      <c r="G497" s="4" t="s">
        <v>142</v>
      </c>
      <c r="H497" s="4" t="s">
        <v>244</v>
      </c>
      <c r="I497" t="s">
        <v>535</v>
      </c>
      <c r="J497" s="5">
        <v>41393</v>
      </c>
      <c r="K497" t="s">
        <v>509</v>
      </c>
      <c r="L497" s="4" t="str">
        <f ca="1">IF(OFFSET(N497,,$C$4)="X","X","")</f>
        <v/>
      </c>
      <c r="M497" s="6"/>
      <c r="N497" s="6"/>
      <c r="O497" s="4"/>
      <c r="P497" s="4"/>
      <c r="Q497" s="41"/>
      <c r="R497" s="41"/>
      <c r="S497" s="41"/>
      <c r="T497" s="41"/>
      <c r="U497" s="41"/>
      <c r="V497" s="4"/>
      <c r="AS497"/>
    </row>
    <row r="498" spans="1:45" x14ac:dyDescent="0.3">
      <c r="A498">
        <v>1925</v>
      </c>
      <c r="B498" s="37" t="s">
        <v>2914</v>
      </c>
      <c r="C498" s="38" t="s">
        <v>407</v>
      </c>
      <c r="D498" s="4" t="s">
        <v>599</v>
      </c>
      <c r="E498" t="s">
        <v>106</v>
      </c>
      <c r="F498" t="s">
        <v>221</v>
      </c>
      <c r="G498" s="4" t="s">
        <v>142</v>
      </c>
      <c r="H498" s="4" t="s">
        <v>244</v>
      </c>
      <c r="I498" t="s">
        <v>535</v>
      </c>
      <c r="J498" s="5">
        <v>41374</v>
      </c>
      <c r="K498" t="s">
        <v>2915</v>
      </c>
      <c r="L498" s="4"/>
      <c r="M498" s="6"/>
      <c r="N498" s="6"/>
      <c r="O498" s="4"/>
      <c r="P498" s="4"/>
      <c r="Q498" s="41"/>
      <c r="R498" s="41"/>
      <c r="S498" s="41"/>
      <c r="T498" s="41"/>
      <c r="U498" s="41"/>
      <c r="V498" s="4"/>
      <c r="AS498"/>
    </row>
    <row r="499" spans="1:45" x14ac:dyDescent="0.3">
      <c r="A499">
        <v>6166</v>
      </c>
      <c r="B499" s="37" t="s">
        <v>2917</v>
      </c>
      <c r="C499" s="38" t="s">
        <v>478</v>
      </c>
      <c r="D499" s="4" t="s">
        <v>599</v>
      </c>
      <c r="E499" t="s">
        <v>185</v>
      </c>
      <c r="F499" t="s">
        <v>223</v>
      </c>
      <c r="G499" s="4" t="s">
        <v>142</v>
      </c>
      <c r="H499" s="4" t="s">
        <v>244</v>
      </c>
      <c r="I499" t="s">
        <v>535</v>
      </c>
      <c r="J499" s="5">
        <v>41395</v>
      </c>
      <c r="K499" t="s">
        <v>509</v>
      </c>
      <c r="L499" s="4" t="s">
        <v>2610</v>
      </c>
      <c r="M499" s="6"/>
      <c r="N499" s="6" t="s">
        <v>2610</v>
      </c>
      <c r="O499" s="4"/>
      <c r="P499" s="4"/>
      <c r="Q499" s="41"/>
      <c r="R499" s="41"/>
      <c r="S499" s="41"/>
      <c r="T499" s="41"/>
      <c r="U499" s="41"/>
      <c r="V499" s="4"/>
      <c r="AS499"/>
    </row>
    <row r="500" spans="1:45" x14ac:dyDescent="0.3">
      <c r="A500">
        <v>1982</v>
      </c>
      <c r="B500" s="37" t="s">
        <v>2918</v>
      </c>
      <c r="C500" s="38" t="s">
        <v>2542</v>
      </c>
      <c r="D500" s="4" t="s">
        <v>599</v>
      </c>
      <c r="E500">
        <v>61324</v>
      </c>
      <c r="F500" t="s">
        <v>221</v>
      </c>
      <c r="G500" s="4" t="s">
        <v>244</v>
      </c>
      <c r="H500" s="4" t="s">
        <v>244</v>
      </c>
      <c r="I500" t="s">
        <v>535</v>
      </c>
      <c r="J500" s="5">
        <v>41445</v>
      </c>
      <c r="K500" t="s">
        <v>509</v>
      </c>
      <c r="L500" s="4" t="s">
        <v>2610</v>
      </c>
      <c r="M500" s="6"/>
      <c r="N500" s="6" t="s">
        <v>2610</v>
      </c>
      <c r="O500" s="4"/>
      <c r="P500" s="4"/>
      <c r="Q500" s="41"/>
      <c r="R500" s="41"/>
      <c r="S500" s="41"/>
      <c r="T500" s="41"/>
      <c r="U500" s="41"/>
      <c r="V500" s="4"/>
      <c r="AS500"/>
    </row>
    <row r="501" spans="1:45" x14ac:dyDescent="0.3">
      <c r="A501">
        <v>4019</v>
      </c>
      <c r="B501" s="37" t="s">
        <v>2919</v>
      </c>
      <c r="C501" s="38" t="s">
        <v>2584</v>
      </c>
      <c r="D501" s="4" t="s">
        <v>599</v>
      </c>
      <c r="E501" t="s">
        <v>2585</v>
      </c>
      <c r="F501" t="s">
        <v>215</v>
      </c>
      <c r="G501" s="4" t="s">
        <v>2567</v>
      </c>
      <c r="H501" s="4" t="s">
        <v>244</v>
      </c>
      <c r="I501" t="s">
        <v>535</v>
      </c>
      <c r="J501" s="5">
        <v>41445</v>
      </c>
      <c r="K501" t="s">
        <v>509</v>
      </c>
      <c r="L501" s="4" t="s">
        <v>2610</v>
      </c>
      <c r="M501" s="6"/>
      <c r="N501" s="6" t="s">
        <v>2610</v>
      </c>
      <c r="O501" s="4"/>
      <c r="P501" s="4"/>
      <c r="Q501" s="41"/>
      <c r="R501" s="41"/>
      <c r="S501" s="41"/>
      <c r="T501" s="41"/>
      <c r="U501" s="41"/>
      <c r="V501" s="4"/>
      <c r="AS501"/>
    </row>
    <row r="502" spans="1:45" x14ac:dyDescent="0.3">
      <c r="A502">
        <v>6113</v>
      </c>
      <c r="B502" s="37" t="s">
        <v>2920</v>
      </c>
      <c r="C502" s="38" t="s">
        <v>465</v>
      </c>
      <c r="D502" s="4" t="s">
        <v>599</v>
      </c>
      <c r="E502" t="s">
        <v>172</v>
      </c>
      <c r="F502" t="s">
        <v>218</v>
      </c>
      <c r="G502" s="4" t="s">
        <v>142</v>
      </c>
      <c r="H502" s="4" t="s">
        <v>244</v>
      </c>
      <c r="I502" t="s">
        <v>535</v>
      </c>
      <c r="J502" s="5">
        <v>41408</v>
      </c>
      <c r="K502" t="s">
        <v>509</v>
      </c>
      <c r="L502" s="4" t="s">
        <v>2610</v>
      </c>
      <c r="M502" s="6"/>
      <c r="N502" s="6" t="s">
        <v>2610</v>
      </c>
      <c r="O502" s="4"/>
      <c r="P502" s="4"/>
      <c r="Q502" s="41"/>
      <c r="R502" s="41"/>
      <c r="S502" s="41"/>
      <c r="T502" s="41"/>
      <c r="U502" s="41"/>
      <c r="V502" s="4"/>
      <c r="AS502"/>
    </row>
    <row r="503" spans="1:45" s="10" customFormat="1" x14ac:dyDescent="0.3">
      <c r="A503">
        <v>4220</v>
      </c>
      <c r="B503" s="37" t="s">
        <v>2921</v>
      </c>
      <c r="C503" s="38" t="s">
        <v>2640</v>
      </c>
      <c r="D503" s="4" t="s">
        <v>599</v>
      </c>
      <c r="E503" s="10">
        <v>78014</v>
      </c>
      <c r="F503" t="s">
        <v>225</v>
      </c>
      <c r="G503" s="4" t="s">
        <v>244</v>
      </c>
      <c r="H503" s="4" t="s">
        <v>244</v>
      </c>
      <c r="I503" t="s">
        <v>535</v>
      </c>
      <c r="J503" s="5">
        <v>41415</v>
      </c>
      <c r="K503" t="s">
        <v>509</v>
      </c>
      <c r="L503" s="4" t="s">
        <v>2610</v>
      </c>
      <c r="M503" s="6"/>
      <c r="N503" s="6" t="s">
        <v>2610</v>
      </c>
      <c r="O503" s="4"/>
      <c r="P503" s="4"/>
      <c r="Q503" s="41"/>
      <c r="R503" s="41"/>
      <c r="S503" s="41"/>
      <c r="T503" s="41"/>
      <c r="U503" s="41"/>
      <c r="V503" s="4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</row>
    <row r="504" spans="1:45" x14ac:dyDescent="0.3">
      <c r="A504">
        <v>3174</v>
      </c>
      <c r="B504" s="37" t="s">
        <v>2950</v>
      </c>
      <c r="C504" s="38" t="s">
        <v>300</v>
      </c>
      <c r="D504" s="4" t="s">
        <v>599</v>
      </c>
      <c r="E504">
        <v>30608</v>
      </c>
      <c r="F504" t="s">
        <v>224</v>
      </c>
      <c r="G504" s="4" t="s">
        <v>244</v>
      </c>
      <c r="H504" s="4" t="s">
        <v>244</v>
      </c>
      <c r="I504" t="s">
        <v>535</v>
      </c>
      <c r="J504" s="5">
        <v>41449</v>
      </c>
      <c r="K504" t="s">
        <v>509</v>
      </c>
      <c r="L504" s="4" t="s">
        <v>2610</v>
      </c>
      <c r="M504" s="6"/>
      <c r="N504" s="6"/>
      <c r="O504" s="4"/>
      <c r="P504" s="4"/>
      <c r="Q504" s="41"/>
      <c r="R504" s="41"/>
      <c r="S504" s="41"/>
      <c r="T504" s="41"/>
      <c r="U504" s="41"/>
      <c r="V504" s="4"/>
      <c r="AS504"/>
    </row>
    <row r="505" spans="1:45" x14ac:dyDescent="0.3">
      <c r="A505">
        <v>6096</v>
      </c>
      <c r="B505" s="37" t="s">
        <v>2951</v>
      </c>
      <c r="C505" s="38" t="s">
        <v>461</v>
      </c>
      <c r="D505" s="4" t="s">
        <v>599</v>
      </c>
      <c r="E505" t="s">
        <v>168</v>
      </c>
      <c r="F505" t="s">
        <v>221</v>
      </c>
      <c r="G505" s="4" t="s">
        <v>142</v>
      </c>
      <c r="H505" s="4" t="s">
        <v>244</v>
      </c>
      <c r="I505" t="s">
        <v>535</v>
      </c>
      <c r="J505" s="5">
        <v>41458</v>
      </c>
      <c r="K505" t="s">
        <v>509</v>
      </c>
      <c r="L505" s="4" t="s">
        <v>2610</v>
      </c>
      <c r="M505" s="6"/>
      <c r="N505" s="6"/>
      <c r="O505" s="4"/>
      <c r="P505" s="4"/>
      <c r="Q505" s="41"/>
      <c r="R505" s="41"/>
      <c r="S505" s="41"/>
      <c r="T505" s="41"/>
      <c r="U505" s="41"/>
      <c r="V505" s="4"/>
      <c r="AS505"/>
    </row>
    <row r="506" spans="1:45" s="10" customFormat="1" x14ac:dyDescent="0.3">
      <c r="A506">
        <v>3233</v>
      </c>
      <c r="B506" s="37" t="s">
        <v>2952</v>
      </c>
      <c r="C506" s="38" t="s">
        <v>2734</v>
      </c>
      <c r="D506" s="4" t="s">
        <v>599</v>
      </c>
      <c r="E506" s="10" t="s">
        <v>2735</v>
      </c>
      <c r="F506" t="s">
        <v>214</v>
      </c>
      <c r="G506" s="4" t="s">
        <v>142</v>
      </c>
      <c r="H506" s="4" t="s">
        <v>244</v>
      </c>
      <c r="I506" t="s">
        <v>535</v>
      </c>
      <c r="J506" s="5">
        <v>41452</v>
      </c>
      <c r="K506" t="s">
        <v>509</v>
      </c>
      <c r="L506" s="4" t="s">
        <v>2610</v>
      </c>
      <c r="M506" s="6"/>
      <c r="N506" s="6"/>
      <c r="O506" s="4"/>
      <c r="P506" s="4"/>
      <c r="Q506" s="41"/>
      <c r="R506" s="41"/>
      <c r="S506" s="41"/>
      <c r="T506" s="41"/>
      <c r="U506" s="41"/>
      <c r="V506" s="4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</row>
    <row r="507" spans="1:45" x14ac:dyDescent="0.3">
      <c r="A507">
        <v>460</v>
      </c>
      <c r="B507" s="37" t="s">
        <v>2985</v>
      </c>
      <c r="C507" s="38" t="s">
        <v>2373</v>
      </c>
      <c r="D507" s="4" t="s">
        <v>599</v>
      </c>
      <c r="E507" t="s">
        <v>2541</v>
      </c>
      <c r="F507" t="s">
        <v>217</v>
      </c>
      <c r="G507" s="4" t="s">
        <v>142</v>
      </c>
      <c r="H507" s="4" t="s">
        <v>213</v>
      </c>
      <c r="I507" t="s">
        <v>535</v>
      </c>
      <c r="J507" s="5">
        <v>41533</v>
      </c>
      <c r="K507" t="s">
        <v>2986</v>
      </c>
      <c r="L507" s="4" t="s">
        <v>2610</v>
      </c>
      <c r="M507" s="6"/>
      <c r="N507" s="6"/>
      <c r="O507" s="4"/>
      <c r="P507" s="4"/>
      <c r="Q507" s="41"/>
      <c r="R507" s="41"/>
      <c r="S507" s="41"/>
      <c r="T507" s="41"/>
      <c r="U507" s="41"/>
      <c r="V507" s="4"/>
      <c r="AS507"/>
    </row>
    <row r="508" spans="1:45" x14ac:dyDescent="0.3">
      <c r="A508">
        <v>978</v>
      </c>
      <c r="B508" s="37" t="s">
        <v>3565</v>
      </c>
      <c r="C508" s="38" t="s">
        <v>2703</v>
      </c>
      <c r="D508" s="4" t="s">
        <v>599</v>
      </c>
      <c r="E508" t="s">
        <v>227</v>
      </c>
      <c r="F508" t="s">
        <v>227</v>
      </c>
      <c r="G508" s="4" t="s">
        <v>2715</v>
      </c>
      <c r="H508" s="4" t="s">
        <v>213</v>
      </c>
      <c r="I508" t="s">
        <v>535</v>
      </c>
      <c r="J508" s="5">
        <v>41552</v>
      </c>
      <c r="K508" s="10" t="s">
        <v>3030</v>
      </c>
      <c r="L508" s="4" t="str">
        <f ca="1">IF(OFFSET(N508,,$C$4)="X","X","")</f>
        <v/>
      </c>
      <c r="M508" s="6"/>
      <c r="N508" s="6"/>
      <c r="O508" s="4"/>
      <c r="P508" s="4"/>
      <c r="Q508" s="41"/>
      <c r="R508" s="41"/>
      <c r="S508" s="41"/>
      <c r="T508" s="41"/>
      <c r="U508" s="4"/>
      <c r="V508" s="4"/>
      <c r="W508" s="4"/>
      <c r="AS508"/>
    </row>
    <row r="509" spans="1:45" s="10" customFormat="1" x14ac:dyDescent="0.3">
      <c r="A509">
        <v>4070</v>
      </c>
      <c r="B509" s="37" t="s">
        <v>3010</v>
      </c>
      <c r="C509" s="38" t="s">
        <v>2762</v>
      </c>
      <c r="D509" s="4" t="s">
        <v>599</v>
      </c>
      <c r="E509" s="10">
        <v>90215</v>
      </c>
      <c r="F509" t="s">
        <v>220</v>
      </c>
      <c r="G509" s="4" t="s">
        <v>3009</v>
      </c>
      <c r="H509" s="4" t="s">
        <v>213</v>
      </c>
      <c r="I509" t="s">
        <v>535</v>
      </c>
      <c r="J509" s="5">
        <v>41552</v>
      </c>
      <c r="K509" s="10" t="s">
        <v>3030</v>
      </c>
      <c r="L509" s="4" t="s">
        <v>2610</v>
      </c>
      <c r="M509" s="6"/>
      <c r="N509" s="6"/>
      <c r="O509" s="4"/>
      <c r="P509" s="4"/>
      <c r="Q509" s="41"/>
      <c r="R509" s="41"/>
      <c r="S509" s="41"/>
      <c r="T509" s="41"/>
      <c r="U509" s="41"/>
      <c r="V509" s="4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</row>
    <row r="510" spans="1:45" s="10" customFormat="1" x14ac:dyDescent="0.3">
      <c r="A510" s="10">
        <v>2109</v>
      </c>
      <c r="B510" s="37" t="s">
        <v>3011</v>
      </c>
      <c r="C510" s="38" t="s">
        <v>2376</v>
      </c>
      <c r="D510" s="4" t="s">
        <v>599</v>
      </c>
      <c r="E510" t="s">
        <v>2555</v>
      </c>
      <c r="F510" t="s">
        <v>220</v>
      </c>
      <c r="G510" s="4" t="s">
        <v>3009</v>
      </c>
      <c r="H510" s="4" t="s">
        <v>213</v>
      </c>
      <c r="I510" t="s">
        <v>535</v>
      </c>
      <c r="J510" s="5">
        <v>41552</v>
      </c>
      <c r="K510" s="10" t="s">
        <v>3030</v>
      </c>
      <c r="L510" s="4" t="s">
        <v>2610</v>
      </c>
      <c r="M510" s="6"/>
      <c r="N510" s="6"/>
      <c r="O510" s="40"/>
      <c r="P510" s="40"/>
      <c r="Q510" s="42"/>
      <c r="R510" s="42"/>
      <c r="S510" s="41"/>
      <c r="T510" s="42"/>
      <c r="U510" s="42"/>
      <c r="V510" s="4"/>
      <c r="AS510"/>
    </row>
    <row r="511" spans="1:45" s="10" customFormat="1" x14ac:dyDescent="0.3">
      <c r="A511" s="10">
        <v>3105</v>
      </c>
      <c r="B511" s="37" t="s">
        <v>3012</v>
      </c>
      <c r="C511" s="38" t="s">
        <v>2374</v>
      </c>
      <c r="D511" s="4" t="s">
        <v>599</v>
      </c>
      <c r="E511" t="s">
        <v>2558</v>
      </c>
      <c r="F511" t="s">
        <v>215</v>
      </c>
      <c r="G511" s="4" t="s">
        <v>3009</v>
      </c>
      <c r="H511" s="4" t="s">
        <v>213</v>
      </c>
      <c r="I511" t="s">
        <v>535</v>
      </c>
      <c r="J511" s="5">
        <v>41552</v>
      </c>
      <c r="K511" s="10" t="s">
        <v>3030</v>
      </c>
      <c r="L511" s="4" t="s">
        <v>2610</v>
      </c>
      <c r="M511" s="6"/>
      <c r="N511" s="6"/>
      <c r="O511" s="40"/>
      <c r="P511" s="40"/>
      <c r="Q511" s="42"/>
      <c r="R511" s="42"/>
      <c r="S511" s="41"/>
      <c r="T511" s="42"/>
      <c r="U511" s="42"/>
      <c r="V511" s="4"/>
      <c r="AS511"/>
    </row>
    <row r="512" spans="1:45" s="10" customFormat="1" x14ac:dyDescent="0.3">
      <c r="A512" s="10">
        <v>6295</v>
      </c>
      <c r="B512" s="37" t="s">
        <v>3013</v>
      </c>
      <c r="C512" s="38" t="s">
        <v>2381</v>
      </c>
      <c r="D512" s="4" t="s">
        <v>599</v>
      </c>
      <c r="E512" t="s">
        <v>2561</v>
      </c>
      <c r="F512" t="s">
        <v>215</v>
      </c>
      <c r="G512" s="4" t="s">
        <v>3009</v>
      </c>
      <c r="H512" s="4" t="s">
        <v>213</v>
      </c>
      <c r="I512" t="s">
        <v>535</v>
      </c>
      <c r="J512" s="5">
        <v>41552</v>
      </c>
      <c r="K512" s="10" t="s">
        <v>3030</v>
      </c>
      <c r="L512" s="4" t="s">
        <v>2610</v>
      </c>
      <c r="M512" s="6"/>
      <c r="N512" s="6"/>
      <c r="O512" s="40"/>
      <c r="P512" s="40"/>
      <c r="Q512" s="42"/>
      <c r="R512" s="42"/>
      <c r="S512" s="41"/>
      <c r="T512" s="42"/>
      <c r="U512" s="42"/>
      <c r="V512" s="4"/>
      <c r="AS512"/>
    </row>
    <row r="513" spans="1:45" s="10" customFormat="1" x14ac:dyDescent="0.3">
      <c r="A513" s="10">
        <v>460</v>
      </c>
      <c r="B513" s="37" t="s">
        <v>2985</v>
      </c>
      <c r="C513" s="38" t="s">
        <v>2373</v>
      </c>
      <c r="D513" s="4" t="s">
        <v>599</v>
      </c>
      <c r="E513" t="s">
        <v>2563</v>
      </c>
      <c r="F513" t="s">
        <v>217</v>
      </c>
      <c r="G513" s="4" t="s">
        <v>3009</v>
      </c>
      <c r="H513" s="4" t="s">
        <v>213</v>
      </c>
      <c r="I513" t="s">
        <v>535</v>
      </c>
      <c r="J513" s="5">
        <v>41552</v>
      </c>
      <c r="K513" s="10" t="s">
        <v>3030</v>
      </c>
      <c r="L513" s="4" t="s">
        <v>2610</v>
      </c>
      <c r="M513" s="6"/>
      <c r="N513" s="6"/>
      <c r="O513" s="40"/>
      <c r="P513" s="40"/>
      <c r="Q513" s="42"/>
      <c r="R513" s="42"/>
      <c r="S513" s="41"/>
      <c r="T513" s="42"/>
      <c r="U513" s="41"/>
      <c r="V513" s="4"/>
      <c r="AS513"/>
    </row>
    <row r="514" spans="1:45" s="10" customFormat="1" x14ac:dyDescent="0.3">
      <c r="A514" s="10">
        <v>6137</v>
      </c>
      <c r="B514" s="37" t="s">
        <v>3014</v>
      </c>
      <c r="C514" s="38" t="s">
        <v>472</v>
      </c>
      <c r="D514" s="4" t="s">
        <v>599</v>
      </c>
      <c r="E514" t="s">
        <v>2557</v>
      </c>
      <c r="F514" t="s">
        <v>224</v>
      </c>
      <c r="G514" s="4" t="s">
        <v>3009</v>
      </c>
      <c r="H514" s="4" t="s">
        <v>213</v>
      </c>
      <c r="I514" t="s">
        <v>535</v>
      </c>
      <c r="J514" s="5">
        <v>41552</v>
      </c>
      <c r="K514" s="10" t="s">
        <v>3030</v>
      </c>
      <c r="L514" s="4" t="s">
        <v>2610</v>
      </c>
      <c r="M514" s="6"/>
      <c r="N514" s="6"/>
      <c r="O514" s="40"/>
      <c r="P514" s="40"/>
      <c r="Q514" s="42"/>
      <c r="R514" s="42"/>
      <c r="S514" s="41"/>
      <c r="T514" s="42"/>
      <c r="U514" s="42"/>
      <c r="V514" s="4"/>
      <c r="AS514"/>
    </row>
    <row r="515" spans="1:45" s="10" customFormat="1" x14ac:dyDescent="0.3">
      <c r="A515" s="10">
        <v>3080</v>
      </c>
      <c r="B515" s="37" t="s">
        <v>3015</v>
      </c>
      <c r="C515" s="38" t="s">
        <v>2375</v>
      </c>
      <c r="D515" s="4" t="s">
        <v>599</v>
      </c>
      <c r="E515" t="s">
        <v>2560</v>
      </c>
      <c r="F515" t="s">
        <v>214</v>
      </c>
      <c r="G515" s="4" t="s">
        <v>3009</v>
      </c>
      <c r="H515" s="4" t="s">
        <v>213</v>
      </c>
      <c r="I515" t="s">
        <v>535</v>
      </c>
      <c r="J515" s="5">
        <v>41552</v>
      </c>
      <c r="K515" s="10" t="s">
        <v>3030</v>
      </c>
      <c r="L515" s="4" t="s">
        <v>2610</v>
      </c>
      <c r="M515" s="6"/>
      <c r="N515" s="6"/>
      <c r="O515" s="40"/>
      <c r="P515" s="40"/>
      <c r="Q515" s="42"/>
      <c r="R515" s="42"/>
      <c r="S515" s="41"/>
      <c r="T515" s="42"/>
      <c r="U515" s="42"/>
      <c r="V515" s="4"/>
      <c r="AS515"/>
    </row>
    <row r="516" spans="1:45" s="10" customFormat="1" x14ac:dyDescent="0.3">
      <c r="A516" s="10">
        <v>1525</v>
      </c>
      <c r="B516" s="37" t="s">
        <v>3016</v>
      </c>
      <c r="C516" s="38" t="s">
        <v>2388</v>
      </c>
      <c r="D516" s="4" t="s">
        <v>599</v>
      </c>
      <c r="E516" t="s">
        <v>2562</v>
      </c>
      <c r="F516" t="s">
        <v>221</v>
      </c>
      <c r="G516" s="4" t="s">
        <v>3009</v>
      </c>
      <c r="H516" s="4" t="s">
        <v>213</v>
      </c>
      <c r="I516" t="s">
        <v>535</v>
      </c>
      <c r="J516" s="5">
        <v>41552</v>
      </c>
      <c r="K516" s="10" t="s">
        <v>3030</v>
      </c>
      <c r="L516" s="4" t="s">
        <v>2610</v>
      </c>
      <c r="M516" s="6"/>
      <c r="N516" s="6"/>
      <c r="O516" s="40"/>
      <c r="P516" s="40"/>
      <c r="Q516" s="42"/>
      <c r="R516" s="42"/>
      <c r="S516" s="41"/>
      <c r="T516" s="42"/>
      <c r="U516" s="42"/>
      <c r="V516" s="4"/>
      <c r="AS516"/>
    </row>
    <row r="517" spans="1:45" s="10" customFormat="1" x14ac:dyDescent="0.3">
      <c r="A517" s="10">
        <v>6192</v>
      </c>
      <c r="B517" s="37" t="s">
        <v>3017</v>
      </c>
      <c r="C517" s="38" t="s">
        <v>2386</v>
      </c>
      <c r="D517" s="4" t="s">
        <v>599</v>
      </c>
      <c r="E517" t="s">
        <v>2564</v>
      </c>
      <c r="F517" t="s">
        <v>214</v>
      </c>
      <c r="G517" s="4" t="s">
        <v>3009</v>
      </c>
      <c r="H517" s="4" t="s">
        <v>213</v>
      </c>
      <c r="I517" t="s">
        <v>535</v>
      </c>
      <c r="J517" s="5">
        <v>41552</v>
      </c>
      <c r="K517" s="10" t="s">
        <v>3030</v>
      </c>
      <c r="L517" s="4" t="s">
        <v>2610</v>
      </c>
      <c r="M517" s="6"/>
      <c r="N517" s="6"/>
      <c r="O517" s="40"/>
      <c r="P517" s="40"/>
      <c r="Q517" s="42"/>
      <c r="R517" s="42"/>
      <c r="S517" s="41"/>
      <c r="T517" s="42"/>
      <c r="U517" s="42"/>
      <c r="V517" s="4"/>
      <c r="AS517"/>
    </row>
    <row r="518" spans="1:45" s="10" customFormat="1" x14ac:dyDescent="0.3">
      <c r="A518" s="10">
        <v>1489</v>
      </c>
      <c r="B518" s="37" t="s">
        <v>3018</v>
      </c>
      <c r="C518" s="38" t="s">
        <v>2387</v>
      </c>
      <c r="D518" s="4" t="s">
        <v>599</v>
      </c>
      <c r="E518" t="s">
        <v>2559</v>
      </c>
      <c r="F518" t="s">
        <v>219</v>
      </c>
      <c r="G518" s="4" t="s">
        <v>3009</v>
      </c>
      <c r="H518" s="4" t="s">
        <v>213</v>
      </c>
      <c r="I518" t="s">
        <v>535</v>
      </c>
      <c r="J518" s="5">
        <v>41552</v>
      </c>
      <c r="K518" s="10" t="s">
        <v>3030</v>
      </c>
      <c r="L518" s="4" t="s">
        <v>2610</v>
      </c>
      <c r="M518" s="6"/>
      <c r="N518" s="6"/>
      <c r="O518" s="40"/>
      <c r="P518" s="40"/>
      <c r="Q518" s="42"/>
      <c r="R518" s="42"/>
      <c r="S518" s="41"/>
      <c r="T518" s="42"/>
      <c r="U518" s="42"/>
      <c r="V518" s="4"/>
      <c r="AS518"/>
    </row>
    <row r="519" spans="1:45" s="10" customFormat="1" x14ac:dyDescent="0.3">
      <c r="A519" s="10">
        <v>1767</v>
      </c>
      <c r="B519" s="37" t="s">
        <v>3019</v>
      </c>
      <c r="C519" s="38" t="s">
        <v>394</v>
      </c>
      <c r="D519" s="4" t="s">
        <v>599</v>
      </c>
      <c r="E519" t="s">
        <v>2556</v>
      </c>
      <c r="F519" t="s">
        <v>219</v>
      </c>
      <c r="G519" s="4" t="s">
        <v>3009</v>
      </c>
      <c r="H519" s="4" t="s">
        <v>213</v>
      </c>
      <c r="I519" t="s">
        <v>535</v>
      </c>
      <c r="J519" s="5">
        <v>41552</v>
      </c>
      <c r="K519" s="10" t="s">
        <v>3030</v>
      </c>
      <c r="L519" s="4" t="s">
        <v>2610</v>
      </c>
      <c r="M519" s="6"/>
      <c r="N519" s="6"/>
      <c r="O519" s="40"/>
      <c r="P519" s="40"/>
      <c r="Q519" s="42"/>
      <c r="R519" s="42"/>
      <c r="S519" s="41"/>
      <c r="T519" s="42"/>
      <c r="U519" s="42"/>
      <c r="V519" s="4"/>
      <c r="AS519"/>
    </row>
    <row r="520" spans="1:45" s="10" customFormat="1" x14ac:dyDescent="0.3">
      <c r="A520" s="10">
        <v>1800</v>
      </c>
      <c r="B520" s="37" t="s">
        <v>2512</v>
      </c>
      <c r="C520" s="38" t="s">
        <v>395</v>
      </c>
      <c r="D520" s="4" t="s">
        <v>599</v>
      </c>
      <c r="E520" t="s">
        <v>2553</v>
      </c>
      <c r="F520" t="s">
        <v>217</v>
      </c>
      <c r="G520" s="4" t="s">
        <v>3009</v>
      </c>
      <c r="H520" s="4" t="s">
        <v>213</v>
      </c>
      <c r="I520" t="s">
        <v>535</v>
      </c>
      <c r="J520" s="5">
        <v>41552</v>
      </c>
      <c r="K520" s="10" t="s">
        <v>3030</v>
      </c>
      <c r="L520" s="4" t="s">
        <v>2610</v>
      </c>
      <c r="M520" s="6"/>
      <c r="N520" s="6"/>
      <c r="O520" s="40"/>
      <c r="P520" s="40"/>
      <c r="Q520" s="42"/>
      <c r="R520" s="42"/>
      <c r="S520" s="41"/>
      <c r="T520" s="42"/>
      <c r="U520" s="42"/>
      <c r="V520" s="4"/>
      <c r="AS520"/>
    </row>
    <row r="521" spans="1:45" s="10" customFormat="1" x14ac:dyDescent="0.3">
      <c r="A521" s="10">
        <v>3023</v>
      </c>
      <c r="B521" s="37" t="s">
        <v>3020</v>
      </c>
      <c r="C521" s="38" t="s">
        <v>416</v>
      </c>
      <c r="D521" s="4" t="s">
        <v>599</v>
      </c>
      <c r="E521" t="s">
        <v>2552</v>
      </c>
      <c r="F521" t="s">
        <v>225</v>
      </c>
      <c r="G521" s="4" t="s">
        <v>3009</v>
      </c>
      <c r="H521" s="4" t="s">
        <v>213</v>
      </c>
      <c r="I521" t="s">
        <v>535</v>
      </c>
      <c r="J521" s="5">
        <v>41552</v>
      </c>
      <c r="K521" s="10" t="s">
        <v>3030</v>
      </c>
      <c r="L521" s="4" t="s">
        <v>2610</v>
      </c>
      <c r="M521" s="6"/>
      <c r="N521" s="6"/>
      <c r="O521" s="40"/>
      <c r="P521" s="40"/>
      <c r="Q521" s="42"/>
      <c r="R521" s="42"/>
      <c r="S521" s="41"/>
      <c r="T521" s="42"/>
      <c r="U521" s="42"/>
      <c r="V521" s="4"/>
      <c r="AS521"/>
    </row>
    <row r="522" spans="1:45" s="10" customFormat="1" x14ac:dyDescent="0.3">
      <c r="A522" s="10">
        <v>3183</v>
      </c>
      <c r="B522" s="37" t="s">
        <v>3021</v>
      </c>
      <c r="C522" s="38" t="s">
        <v>2397</v>
      </c>
      <c r="D522" s="4" t="s">
        <v>599</v>
      </c>
      <c r="E522" t="s">
        <v>2554</v>
      </c>
      <c r="F522" t="s">
        <v>223</v>
      </c>
      <c r="G522" s="4" t="s">
        <v>3009</v>
      </c>
      <c r="H522" s="4" t="s">
        <v>213</v>
      </c>
      <c r="I522" t="s">
        <v>535</v>
      </c>
      <c r="J522" s="5">
        <v>41552</v>
      </c>
      <c r="K522" s="10" t="s">
        <v>3030</v>
      </c>
      <c r="L522" s="4" t="s">
        <v>2610</v>
      </c>
      <c r="M522" s="6"/>
      <c r="N522" s="6"/>
      <c r="O522" s="40"/>
      <c r="P522" s="40"/>
      <c r="Q522" s="42"/>
      <c r="R522" s="42"/>
      <c r="S522" s="41"/>
      <c r="T522" s="42"/>
      <c r="U522" s="42"/>
      <c r="V522" s="4"/>
      <c r="AS522"/>
    </row>
    <row r="523" spans="1:45" s="10" customFormat="1" x14ac:dyDescent="0.3">
      <c r="A523" s="10">
        <v>3142</v>
      </c>
      <c r="B523" s="37" t="s">
        <v>3022</v>
      </c>
      <c r="C523" s="38" t="s">
        <v>431</v>
      </c>
      <c r="D523" s="4" t="s">
        <v>599</v>
      </c>
      <c r="E523" t="s">
        <v>2549</v>
      </c>
      <c r="F523" t="s">
        <v>225</v>
      </c>
      <c r="G523" s="4" t="s">
        <v>3009</v>
      </c>
      <c r="H523" s="4" t="s">
        <v>213</v>
      </c>
      <c r="I523" t="s">
        <v>535</v>
      </c>
      <c r="J523" s="5">
        <v>41552</v>
      </c>
      <c r="K523" s="10" t="s">
        <v>3030</v>
      </c>
      <c r="L523" s="4" t="s">
        <v>2610</v>
      </c>
      <c r="M523" s="6"/>
      <c r="N523" s="6"/>
      <c r="O523" s="40"/>
      <c r="P523" s="40"/>
      <c r="Q523" s="42"/>
      <c r="R523" s="42"/>
      <c r="S523" s="41"/>
      <c r="T523" s="42"/>
      <c r="U523" s="42"/>
      <c r="V523" s="4"/>
      <c r="AS523"/>
    </row>
    <row r="524" spans="1:45" s="10" customFormat="1" x14ac:dyDescent="0.3">
      <c r="A524" s="10">
        <v>3097</v>
      </c>
      <c r="B524" s="37" t="s">
        <v>3023</v>
      </c>
      <c r="C524" s="38" t="s">
        <v>2377</v>
      </c>
      <c r="D524" s="4" t="s">
        <v>599</v>
      </c>
      <c r="E524" t="s">
        <v>2551</v>
      </c>
      <c r="F524" t="s">
        <v>216</v>
      </c>
      <c r="G524" s="4" t="s">
        <v>3009</v>
      </c>
      <c r="H524" s="4" t="s">
        <v>213</v>
      </c>
      <c r="I524" t="s">
        <v>535</v>
      </c>
      <c r="J524" s="5">
        <v>41552</v>
      </c>
      <c r="K524" s="10" t="s">
        <v>3030</v>
      </c>
      <c r="L524" s="4" t="s">
        <v>2610</v>
      </c>
      <c r="M524" s="6"/>
      <c r="N524" s="6"/>
      <c r="O524" s="40"/>
      <c r="P524" s="40"/>
      <c r="Q524" s="42"/>
      <c r="R524" s="42"/>
      <c r="S524" s="41"/>
      <c r="T524" s="42"/>
      <c r="U524" s="42"/>
      <c r="V524" s="4"/>
      <c r="AS524"/>
    </row>
    <row r="525" spans="1:45" s="10" customFormat="1" x14ac:dyDescent="0.3">
      <c r="A525" s="10">
        <v>6062</v>
      </c>
      <c r="B525" s="37" t="s">
        <v>3025</v>
      </c>
      <c r="C525" s="38" t="s">
        <v>451</v>
      </c>
      <c r="D525" s="4" t="s">
        <v>599</v>
      </c>
      <c r="E525" t="s">
        <v>2577</v>
      </c>
      <c r="F525" t="s">
        <v>217</v>
      </c>
      <c r="G525" s="4" t="s">
        <v>3008</v>
      </c>
      <c r="H525" s="4" t="s">
        <v>213</v>
      </c>
      <c r="I525" t="s">
        <v>535</v>
      </c>
      <c r="J525" s="5">
        <v>41552</v>
      </c>
      <c r="K525" s="10" t="s">
        <v>3030</v>
      </c>
      <c r="L525" s="4" t="s">
        <v>2610</v>
      </c>
      <c r="M525" s="6"/>
      <c r="N525" s="6"/>
      <c r="O525" s="4"/>
      <c r="P525" s="4"/>
      <c r="Q525" s="41"/>
      <c r="R525" s="41"/>
      <c r="S525" s="41"/>
      <c r="T525" s="41"/>
      <c r="U525" s="41"/>
      <c r="V525" s="4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</row>
    <row r="526" spans="1:45" s="10" customFormat="1" x14ac:dyDescent="0.3">
      <c r="A526">
        <v>6141</v>
      </c>
      <c r="B526" s="37" t="s">
        <v>3028</v>
      </c>
      <c r="C526" s="38" t="s">
        <v>474</v>
      </c>
      <c r="D526" s="4" t="s">
        <v>599</v>
      </c>
      <c r="E526" t="s">
        <v>180</v>
      </c>
      <c r="F526" t="s">
        <v>224</v>
      </c>
      <c r="G526" s="4" t="s">
        <v>3009</v>
      </c>
      <c r="H526" s="4" t="s">
        <v>213</v>
      </c>
      <c r="I526" t="s">
        <v>535</v>
      </c>
      <c r="J526" s="5">
        <v>41552</v>
      </c>
      <c r="K526" s="10" t="s">
        <v>3030</v>
      </c>
      <c r="L526" s="4" t="s">
        <v>2610</v>
      </c>
      <c r="M526" s="6"/>
      <c r="N526" s="6"/>
      <c r="O526" s="4"/>
      <c r="P526" s="4"/>
      <c r="Q526" s="41"/>
      <c r="R526" s="41"/>
      <c r="S526" s="41"/>
      <c r="T526" s="41"/>
      <c r="U526" s="41"/>
      <c r="V526" s="4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</row>
    <row r="527" spans="1:45" s="10" customFormat="1" x14ac:dyDescent="0.3">
      <c r="A527">
        <v>1187</v>
      </c>
      <c r="B527" s="37" t="s">
        <v>3029</v>
      </c>
      <c r="C527" s="38" t="s">
        <v>375</v>
      </c>
      <c r="D527" s="4" t="s">
        <v>599</v>
      </c>
      <c r="E527" t="s">
        <v>73</v>
      </c>
      <c r="F527" t="s">
        <v>217</v>
      </c>
      <c r="G527" s="4" t="s">
        <v>3009</v>
      </c>
      <c r="H527" s="4" t="s">
        <v>145</v>
      </c>
      <c r="I527" t="s">
        <v>535</v>
      </c>
      <c r="J527" s="5">
        <v>41552</v>
      </c>
      <c r="K527" s="10" t="s">
        <v>3030</v>
      </c>
      <c r="L527" s="4" t="s">
        <v>2610</v>
      </c>
      <c r="M527" s="6"/>
      <c r="N527" s="6"/>
      <c r="O527" s="4"/>
      <c r="P527" s="4"/>
      <c r="Q527" s="41"/>
      <c r="R527" s="41"/>
      <c r="S527" s="41"/>
      <c r="T527" s="41"/>
      <c r="U527" s="41"/>
      <c r="V527" s="4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</row>
    <row r="528" spans="1:45" x14ac:dyDescent="0.3">
      <c r="A528">
        <v>1640</v>
      </c>
      <c r="B528" s="37" t="s">
        <v>3049</v>
      </c>
      <c r="C528" s="38" t="s">
        <v>256</v>
      </c>
      <c r="D528" s="4" t="s">
        <v>599</v>
      </c>
      <c r="E528">
        <v>41610</v>
      </c>
      <c r="F528" t="s">
        <v>215</v>
      </c>
      <c r="G528" s="4" t="s">
        <v>244</v>
      </c>
      <c r="H528" s="4" t="s">
        <v>244</v>
      </c>
      <c r="I528" t="s">
        <v>3035</v>
      </c>
      <c r="J528" s="5">
        <v>41577</v>
      </c>
      <c r="K528" t="s">
        <v>509</v>
      </c>
      <c r="L528" s="4" t="s">
        <v>2610</v>
      </c>
      <c r="M528" s="6"/>
      <c r="N528" s="6" t="s">
        <v>2610</v>
      </c>
      <c r="O528" s="4"/>
      <c r="P528" s="4"/>
      <c r="Q528" s="41"/>
      <c r="R528" s="41"/>
      <c r="S528" s="41"/>
      <c r="T528" s="41"/>
      <c r="U528" s="41"/>
      <c r="V528" s="4"/>
      <c r="AS528"/>
    </row>
    <row r="529" spans="1:45" x14ac:dyDescent="0.3">
      <c r="A529">
        <v>3052</v>
      </c>
      <c r="B529" s="37" t="s">
        <v>3050</v>
      </c>
      <c r="C529" s="38" t="s">
        <v>420</v>
      </c>
      <c r="D529" s="4" t="s">
        <v>599</v>
      </c>
      <c r="E529" t="s">
        <v>120</v>
      </c>
      <c r="F529" t="s">
        <v>222</v>
      </c>
      <c r="G529" s="4" t="s">
        <v>142</v>
      </c>
      <c r="H529" s="4" t="s">
        <v>244</v>
      </c>
      <c r="I529" t="s">
        <v>3035</v>
      </c>
      <c r="J529" s="5">
        <v>41577</v>
      </c>
      <c r="K529" t="s">
        <v>509</v>
      </c>
      <c r="L529" s="4" t="s">
        <v>2610</v>
      </c>
      <c r="M529" s="6"/>
      <c r="N529" s="6"/>
      <c r="O529" s="4"/>
      <c r="P529" s="4"/>
      <c r="Q529" s="41"/>
      <c r="R529" s="41"/>
      <c r="S529" s="41"/>
      <c r="T529" s="41"/>
      <c r="U529" s="41"/>
      <c r="V529" s="4"/>
      <c r="AS529"/>
    </row>
    <row r="530" spans="1:45" x14ac:dyDescent="0.3">
      <c r="A530" t="s">
        <v>3056</v>
      </c>
      <c r="B530" s="37" t="s">
        <v>3055</v>
      </c>
      <c r="C530" s="38" t="s">
        <v>393</v>
      </c>
      <c r="D530" s="4" t="s">
        <v>599</v>
      </c>
      <c r="E530" t="s">
        <v>2439</v>
      </c>
      <c r="F530" t="s">
        <v>215</v>
      </c>
      <c r="G530" s="4" t="s">
        <v>3008</v>
      </c>
      <c r="H530" s="4" t="s">
        <v>213</v>
      </c>
      <c r="I530" t="s">
        <v>3035</v>
      </c>
      <c r="J530" s="5">
        <v>41171</v>
      </c>
      <c r="K530" t="s">
        <v>3051</v>
      </c>
      <c r="L530" s="4" t="s">
        <v>2610</v>
      </c>
      <c r="M530" s="6"/>
      <c r="N530" s="6"/>
      <c r="O530" s="4"/>
      <c r="P530" s="4"/>
      <c r="Q530" s="41"/>
      <c r="R530" s="41"/>
      <c r="S530" s="41"/>
      <c r="T530" s="41"/>
      <c r="U530" s="41"/>
      <c r="V530" s="4"/>
      <c r="AS530"/>
    </row>
    <row r="531" spans="1:45" x14ac:dyDescent="0.3">
      <c r="A531">
        <v>1142</v>
      </c>
      <c r="B531" s="37" t="s">
        <v>3079</v>
      </c>
      <c r="C531" s="38" t="s">
        <v>276</v>
      </c>
      <c r="D531" s="4" t="s">
        <v>599</v>
      </c>
      <c r="E531">
        <v>41804</v>
      </c>
      <c r="F531" t="s">
        <v>219</v>
      </c>
      <c r="G531" s="4" t="s">
        <v>244</v>
      </c>
      <c r="H531" s="4" t="s">
        <v>244</v>
      </c>
      <c r="I531" t="s">
        <v>3035</v>
      </c>
      <c r="J531" s="5">
        <v>41562</v>
      </c>
      <c r="K531" t="s">
        <v>509</v>
      </c>
      <c r="L531" s="4" t="s">
        <v>2610</v>
      </c>
      <c r="M531" s="6"/>
      <c r="N531" s="6"/>
      <c r="O531" s="4"/>
      <c r="P531" s="4"/>
      <c r="Q531" s="41"/>
      <c r="R531" s="41"/>
      <c r="S531" s="41"/>
      <c r="T531" s="41"/>
      <c r="U531" s="41"/>
      <c r="V531" s="4"/>
      <c r="AS531"/>
    </row>
    <row r="532" spans="1:45" x14ac:dyDescent="0.3">
      <c r="A532" t="s">
        <v>3122</v>
      </c>
      <c r="B532" s="37" t="s">
        <v>3080</v>
      </c>
      <c r="C532" s="38" t="s">
        <v>271</v>
      </c>
      <c r="D532" s="4" t="s">
        <v>599</v>
      </c>
      <c r="E532">
        <v>78002</v>
      </c>
      <c r="F532" t="s">
        <v>225</v>
      </c>
      <c r="G532" s="4" t="s">
        <v>244</v>
      </c>
      <c r="H532" s="4" t="s">
        <v>244</v>
      </c>
      <c r="I532" t="s">
        <v>212</v>
      </c>
      <c r="J532" s="5">
        <v>41136</v>
      </c>
      <c r="K532" t="s">
        <v>509</v>
      </c>
      <c r="L532" s="4" t="s">
        <v>2610</v>
      </c>
      <c r="M532" s="6"/>
      <c r="N532" s="6"/>
      <c r="O532" s="4"/>
      <c r="P532" s="4"/>
      <c r="Q532" s="41"/>
      <c r="R532" s="41"/>
      <c r="S532" s="41"/>
      <c r="T532" s="41"/>
      <c r="U532" s="41"/>
      <c r="V532" s="4"/>
      <c r="AS532"/>
    </row>
    <row r="533" spans="1:45" x14ac:dyDescent="0.3">
      <c r="A533" t="s">
        <v>3089</v>
      </c>
      <c r="B533" s="37" t="s">
        <v>3088</v>
      </c>
      <c r="C533" s="38" t="s">
        <v>413</v>
      </c>
      <c r="D533" s="4" t="s">
        <v>599</v>
      </c>
      <c r="E533" t="s">
        <v>2738</v>
      </c>
      <c r="F533" t="s">
        <v>214</v>
      </c>
      <c r="G533" s="4" t="s">
        <v>3008</v>
      </c>
      <c r="H533" s="4" t="s">
        <v>213</v>
      </c>
      <c r="I533" t="s">
        <v>212</v>
      </c>
      <c r="J533" s="5">
        <v>41157</v>
      </c>
      <c r="K533" s="10" t="s">
        <v>3034</v>
      </c>
      <c r="L533" s="4" t="s">
        <v>2610</v>
      </c>
      <c r="M533" s="6"/>
      <c r="N533" s="6"/>
      <c r="O533" s="4"/>
      <c r="P533" s="4"/>
      <c r="Q533" s="41"/>
      <c r="R533" s="41"/>
      <c r="S533" s="41"/>
      <c r="T533" s="41"/>
      <c r="U533" s="41"/>
      <c r="V533" s="4"/>
    </row>
    <row r="534" spans="1:45" x14ac:dyDescent="0.3">
      <c r="A534">
        <v>419</v>
      </c>
      <c r="B534" s="37" t="s">
        <v>3092</v>
      </c>
      <c r="C534" s="38" t="s">
        <v>345</v>
      </c>
      <c r="D534" s="4" t="s">
        <v>599</v>
      </c>
      <c r="E534" t="s">
        <v>39</v>
      </c>
      <c r="F534" t="s">
        <v>217</v>
      </c>
      <c r="G534" s="4" t="s">
        <v>142</v>
      </c>
      <c r="H534" s="4" t="s">
        <v>244</v>
      </c>
      <c r="I534" t="s">
        <v>3035</v>
      </c>
      <c r="J534" s="5">
        <v>41652</v>
      </c>
      <c r="K534" t="s">
        <v>509</v>
      </c>
      <c r="L534" s="4" t="s">
        <v>2610</v>
      </c>
      <c r="M534" s="6"/>
      <c r="N534" s="6"/>
      <c r="O534" s="4"/>
      <c r="P534" s="4"/>
      <c r="Q534" s="41"/>
      <c r="R534" s="41"/>
      <c r="S534" s="41"/>
      <c r="T534" s="41"/>
      <c r="U534" s="41"/>
      <c r="V534" s="4"/>
      <c r="AS534"/>
    </row>
    <row r="535" spans="1:45" x14ac:dyDescent="0.3">
      <c r="A535">
        <v>2172</v>
      </c>
      <c r="B535" s="37" t="s">
        <v>3093</v>
      </c>
      <c r="C535" s="38" t="s">
        <v>2390</v>
      </c>
      <c r="D535" s="4" t="s">
        <v>599</v>
      </c>
      <c r="E535" s="10" t="s">
        <v>2516</v>
      </c>
      <c r="F535" t="s">
        <v>214</v>
      </c>
      <c r="G535" s="4" t="s">
        <v>142</v>
      </c>
      <c r="H535" s="4" t="s">
        <v>213</v>
      </c>
      <c r="I535" t="s">
        <v>3035</v>
      </c>
      <c r="J535" s="5">
        <v>41684</v>
      </c>
      <c r="K535" t="s">
        <v>3094</v>
      </c>
      <c r="L535" s="4"/>
      <c r="M535" s="6"/>
      <c r="N535" s="6"/>
      <c r="O535" s="4"/>
      <c r="P535" s="4"/>
      <c r="Q535" s="41"/>
      <c r="R535" s="41"/>
      <c r="S535" s="41"/>
      <c r="T535" s="41"/>
      <c r="U535" s="41"/>
      <c r="V535" s="4"/>
      <c r="AS535"/>
    </row>
    <row r="536" spans="1:45" x14ac:dyDescent="0.3">
      <c r="A536">
        <v>3254</v>
      </c>
      <c r="B536" s="37" t="s">
        <v>3095</v>
      </c>
      <c r="C536" s="38" t="s">
        <v>2960</v>
      </c>
      <c r="D536" s="4" t="s">
        <v>599</v>
      </c>
      <c r="E536" s="10" t="s">
        <v>2962</v>
      </c>
      <c r="F536" t="s">
        <v>214</v>
      </c>
      <c r="G536" s="4" t="s">
        <v>142</v>
      </c>
      <c r="H536" s="4" t="s">
        <v>244</v>
      </c>
      <c r="I536" t="s">
        <v>3035</v>
      </c>
      <c r="J536" s="5">
        <v>41652</v>
      </c>
      <c r="K536" t="s">
        <v>509</v>
      </c>
      <c r="L536" s="4"/>
      <c r="M536" s="6"/>
      <c r="N536" s="6"/>
      <c r="O536" s="4"/>
      <c r="P536" s="4"/>
      <c r="Q536" s="41"/>
      <c r="R536" s="41"/>
      <c r="S536" s="41"/>
      <c r="T536" s="41"/>
      <c r="U536" s="41"/>
      <c r="V536" s="4"/>
      <c r="AS536"/>
    </row>
    <row r="537" spans="1:45" x14ac:dyDescent="0.3">
      <c r="A537">
        <v>1928</v>
      </c>
      <c r="B537" s="37" t="s">
        <v>3111</v>
      </c>
      <c r="C537" s="38" t="s">
        <v>408</v>
      </c>
      <c r="D537" s="4" t="s">
        <v>599</v>
      </c>
      <c r="E537" t="s">
        <v>107</v>
      </c>
      <c r="F537" t="s">
        <v>217</v>
      </c>
      <c r="G537" s="4" t="s">
        <v>142</v>
      </c>
      <c r="H537" s="4" t="s">
        <v>244</v>
      </c>
      <c r="I537" t="s">
        <v>3035</v>
      </c>
      <c r="J537" s="5">
        <v>41694</v>
      </c>
      <c r="K537" t="s">
        <v>509</v>
      </c>
      <c r="L537" s="4"/>
      <c r="M537" s="6"/>
      <c r="N537" s="6"/>
      <c r="O537" s="4"/>
      <c r="P537" s="4"/>
      <c r="Q537" s="41"/>
      <c r="R537" s="41"/>
      <c r="S537" s="41"/>
      <c r="T537" s="41"/>
      <c r="U537" s="41"/>
      <c r="V537" s="4"/>
      <c r="AS537"/>
    </row>
    <row r="538" spans="1:45" x14ac:dyDescent="0.3">
      <c r="A538">
        <v>3029</v>
      </c>
      <c r="B538" t="s">
        <v>3132</v>
      </c>
      <c r="C538" t="s">
        <v>262</v>
      </c>
      <c r="D538" s="4" t="s">
        <v>599</v>
      </c>
      <c r="E538">
        <v>78001</v>
      </c>
      <c r="F538" t="s">
        <v>225</v>
      </c>
      <c r="G538" s="4" t="s">
        <v>244</v>
      </c>
      <c r="H538" s="4" t="s">
        <v>244</v>
      </c>
      <c r="I538" t="s">
        <v>3035</v>
      </c>
      <c r="J538" s="5">
        <v>41731</v>
      </c>
      <c r="K538" t="s">
        <v>509</v>
      </c>
    </row>
    <row r="539" spans="1:45" x14ac:dyDescent="0.3">
      <c r="A539">
        <v>3165</v>
      </c>
      <c r="B539" t="s">
        <v>3133</v>
      </c>
      <c r="C539" t="s">
        <v>317</v>
      </c>
      <c r="D539" s="4" t="s">
        <v>599</v>
      </c>
      <c r="E539">
        <v>78011</v>
      </c>
      <c r="F539" t="s">
        <v>225</v>
      </c>
      <c r="G539" s="4" t="s">
        <v>244</v>
      </c>
      <c r="H539" s="4" t="s">
        <v>244</v>
      </c>
      <c r="I539" t="s">
        <v>3035</v>
      </c>
      <c r="J539" s="5">
        <v>41675</v>
      </c>
      <c r="K539" t="s">
        <v>509</v>
      </c>
    </row>
    <row r="540" spans="1:45" x14ac:dyDescent="0.3">
      <c r="A540">
        <v>3207</v>
      </c>
      <c r="B540" t="s">
        <v>3134</v>
      </c>
      <c r="C540" t="s">
        <v>2890</v>
      </c>
      <c r="D540" s="4" t="s">
        <v>599</v>
      </c>
      <c r="E540">
        <v>40321</v>
      </c>
      <c r="F540" t="s">
        <v>223</v>
      </c>
      <c r="G540" s="4" t="s">
        <v>244</v>
      </c>
      <c r="H540" s="4" t="s">
        <v>244</v>
      </c>
      <c r="I540" t="s">
        <v>3035</v>
      </c>
      <c r="J540" s="5">
        <v>41697</v>
      </c>
      <c r="K540" t="s">
        <v>509</v>
      </c>
    </row>
    <row r="541" spans="1:45" x14ac:dyDescent="0.3">
      <c r="A541">
        <v>3228</v>
      </c>
      <c r="B541" t="s">
        <v>3135</v>
      </c>
      <c r="C541" t="s">
        <v>2695</v>
      </c>
      <c r="D541" s="4" t="s">
        <v>599</v>
      </c>
      <c r="E541" t="s">
        <v>3033</v>
      </c>
      <c r="F541" t="s">
        <v>214</v>
      </c>
      <c r="G541" s="4" t="s">
        <v>142</v>
      </c>
      <c r="H541" s="4" t="s">
        <v>244</v>
      </c>
      <c r="I541" t="s">
        <v>3035</v>
      </c>
      <c r="J541" s="5">
        <v>41738</v>
      </c>
      <c r="K541" t="s">
        <v>509</v>
      </c>
      <c r="L541" s="4"/>
      <c r="M541" s="6"/>
      <c r="N541" s="6"/>
      <c r="O541" s="4"/>
      <c r="P541" s="4"/>
      <c r="Q541" s="41"/>
      <c r="R541" s="41"/>
      <c r="S541" s="41"/>
      <c r="T541" s="41"/>
      <c r="U541" s="41"/>
      <c r="V541" s="4"/>
      <c r="AS541"/>
    </row>
    <row r="542" spans="1:45" x14ac:dyDescent="0.3">
      <c r="A542">
        <v>3228</v>
      </c>
      <c r="B542" t="s">
        <v>3135</v>
      </c>
      <c r="C542" t="s">
        <v>2695</v>
      </c>
      <c r="D542" s="4" t="s">
        <v>599</v>
      </c>
      <c r="E542">
        <v>90214</v>
      </c>
      <c r="F542" t="s">
        <v>220</v>
      </c>
      <c r="G542" s="4" t="s">
        <v>244</v>
      </c>
      <c r="H542" s="4" t="s">
        <v>244</v>
      </c>
      <c r="I542" t="s">
        <v>3035</v>
      </c>
      <c r="J542" s="5">
        <v>41738</v>
      </c>
      <c r="K542" t="s">
        <v>509</v>
      </c>
      <c r="L542" s="4"/>
      <c r="M542" s="6"/>
      <c r="N542" s="6"/>
      <c r="O542" s="4"/>
      <c r="P542" s="4"/>
      <c r="Q542" s="41"/>
      <c r="R542" s="41"/>
      <c r="S542" s="41"/>
      <c r="T542" s="41"/>
      <c r="U542" s="41"/>
      <c r="V542" s="4"/>
      <c r="AS542"/>
    </row>
    <row r="543" spans="1:45" x14ac:dyDescent="0.3">
      <c r="A543">
        <v>3012</v>
      </c>
      <c r="B543" t="s">
        <v>3088</v>
      </c>
      <c r="C543" t="s">
        <v>413</v>
      </c>
      <c r="D543" s="4" t="s">
        <v>599</v>
      </c>
      <c r="E543" t="s">
        <v>2693</v>
      </c>
      <c r="F543" t="s">
        <v>214</v>
      </c>
      <c r="G543" s="4" t="s">
        <v>3008</v>
      </c>
      <c r="H543" s="4" t="s">
        <v>244</v>
      </c>
      <c r="I543" t="s">
        <v>3035</v>
      </c>
      <c r="J543" s="5">
        <v>41731</v>
      </c>
      <c r="K543" t="s">
        <v>509</v>
      </c>
      <c r="L543" s="4"/>
      <c r="M543" s="6"/>
      <c r="N543" s="6"/>
      <c r="O543" s="4"/>
      <c r="P543" s="4"/>
      <c r="Q543" s="41"/>
      <c r="R543" s="41"/>
      <c r="S543" s="41"/>
      <c r="T543" s="41"/>
      <c r="U543" s="4"/>
      <c r="V543" s="4"/>
      <c r="AS543"/>
    </row>
    <row r="544" spans="1:45" x14ac:dyDescent="0.3">
      <c r="A544">
        <v>3222</v>
      </c>
      <c r="B544" s="37" t="s">
        <v>3174</v>
      </c>
      <c r="C544" s="38" t="s">
        <v>2661</v>
      </c>
      <c r="D544" s="4" t="s">
        <v>599</v>
      </c>
      <c r="E544" s="10">
        <v>60421</v>
      </c>
      <c r="F544" t="s">
        <v>214</v>
      </c>
      <c r="G544" s="4" t="s">
        <v>244</v>
      </c>
      <c r="H544" s="4" t="s">
        <v>244</v>
      </c>
      <c r="I544" t="s">
        <v>3035</v>
      </c>
      <c r="J544" s="5">
        <v>41788</v>
      </c>
      <c r="K544" t="s">
        <v>3094</v>
      </c>
      <c r="L544" s="4" t="s">
        <v>2610</v>
      </c>
      <c r="M544" s="6"/>
      <c r="N544" s="6" t="s">
        <v>2610</v>
      </c>
      <c r="O544" s="4"/>
      <c r="P544" s="4"/>
      <c r="Q544" s="41"/>
      <c r="R544" s="41"/>
      <c r="S544" s="41"/>
      <c r="T544" s="41"/>
      <c r="U544" s="41"/>
      <c r="V544" s="4"/>
      <c r="AS544"/>
    </row>
    <row r="545" spans="1:45" s="10" customFormat="1" x14ac:dyDescent="0.3">
      <c r="A545">
        <v>4112</v>
      </c>
      <c r="B545" s="46" t="s">
        <v>3176</v>
      </c>
      <c r="C545" s="38" t="s">
        <v>2940</v>
      </c>
      <c r="D545" s="4" t="s">
        <v>599</v>
      </c>
      <c r="E545" s="10">
        <v>61326</v>
      </c>
      <c r="F545" t="s">
        <v>221</v>
      </c>
      <c r="G545" s="4" t="s">
        <v>244</v>
      </c>
      <c r="H545" s="4" t="s">
        <v>244</v>
      </c>
      <c r="I545" t="s">
        <v>3035</v>
      </c>
      <c r="J545" s="5">
        <v>41675</v>
      </c>
      <c r="K545" t="s">
        <v>509</v>
      </c>
      <c r="L545" s="4" t="s">
        <v>2610</v>
      </c>
      <c r="M545" s="6"/>
      <c r="N545" s="6" t="s">
        <v>2610</v>
      </c>
      <c r="O545" s="4"/>
      <c r="P545" s="4"/>
      <c r="Q545" s="41"/>
      <c r="R545" s="41"/>
      <c r="S545" s="41"/>
      <c r="T545" s="41"/>
      <c r="U545" s="41"/>
      <c r="V545" s="4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</row>
    <row r="546" spans="1:45" s="10" customFormat="1" x14ac:dyDescent="0.3">
      <c r="A546">
        <v>4142</v>
      </c>
      <c r="B546" s="37" t="s">
        <v>3177</v>
      </c>
      <c r="C546" s="38" t="s">
        <v>3085</v>
      </c>
      <c r="D546" s="4" t="s">
        <v>599</v>
      </c>
      <c r="E546">
        <v>51457</v>
      </c>
      <c r="F546" t="s">
        <v>217</v>
      </c>
      <c r="G546" s="4" t="s">
        <v>244</v>
      </c>
      <c r="H546" s="4" t="s">
        <v>244</v>
      </c>
      <c r="I546" t="s">
        <v>3035</v>
      </c>
      <c r="J546" s="5">
        <v>41743</v>
      </c>
      <c r="K546" t="s">
        <v>509</v>
      </c>
      <c r="L546" s="4" t="s">
        <v>2610</v>
      </c>
      <c r="M546" s="6"/>
      <c r="N546" s="6" t="s">
        <v>2610</v>
      </c>
      <c r="O546" s="4"/>
      <c r="P546" s="4"/>
      <c r="Q546" s="41"/>
      <c r="R546" s="41"/>
      <c r="S546" s="41"/>
      <c r="T546" s="41"/>
      <c r="U546" s="41"/>
      <c r="V546" s="4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</row>
    <row r="547" spans="1:45" x14ac:dyDescent="0.3">
      <c r="A547">
        <v>1735</v>
      </c>
      <c r="B547" s="37" t="s">
        <v>3178</v>
      </c>
      <c r="C547" s="38" t="s">
        <v>3112</v>
      </c>
      <c r="D547" s="4" t="s">
        <v>599</v>
      </c>
      <c r="E547" t="s">
        <v>46</v>
      </c>
      <c r="F547" t="s">
        <v>217</v>
      </c>
      <c r="G547" s="4" t="s">
        <v>142</v>
      </c>
      <c r="H547" s="4" t="s">
        <v>244</v>
      </c>
      <c r="I547" t="s">
        <v>3035</v>
      </c>
      <c r="J547" s="5">
        <v>41788</v>
      </c>
      <c r="K547" t="s">
        <v>3113</v>
      </c>
      <c r="L547" s="4" t="s">
        <v>2610</v>
      </c>
      <c r="M547" s="6"/>
      <c r="N547" s="6" t="s">
        <v>2610</v>
      </c>
      <c r="O547" s="4"/>
      <c r="P547" s="4"/>
      <c r="Q547" s="41"/>
      <c r="R547" s="41"/>
      <c r="S547" s="41"/>
      <c r="T547" s="41"/>
      <c r="U547" s="41"/>
      <c r="V547" s="4"/>
      <c r="AS547"/>
    </row>
    <row r="548" spans="1:45" x14ac:dyDescent="0.3">
      <c r="A548">
        <v>6122</v>
      </c>
      <c r="B548" t="s">
        <v>3225</v>
      </c>
      <c r="C548" s="38" t="s">
        <v>288</v>
      </c>
      <c r="D548" s="4" t="s">
        <v>599</v>
      </c>
      <c r="E548">
        <v>20402</v>
      </c>
      <c r="F548" t="s">
        <v>216</v>
      </c>
      <c r="G548" s="4" t="s">
        <v>244</v>
      </c>
      <c r="H548" s="4" t="s">
        <v>244</v>
      </c>
      <c r="I548" t="s">
        <v>3035</v>
      </c>
      <c r="J548" s="5">
        <v>41858</v>
      </c>
      <c r="K548" t="s">
        <v>509</v>
      </c>
      <c r="L548" t="s">
        <v>2610</v>
      </c>
    </row>
    <row r="549" spans="1:45" s="10" customFormat="1" x14ac:dyDescent="0.3">
      <c r="A549">
        <v>6114</v>
      </c>
      <c r="B549" s="37" t="s">
        <v>3226</v>
      </c>
      <c r="C549" s="38" t="s">
        <v>466</v>
      </c>
      <c r="D549" s="4" t="s">
        <v>599</v>
      </c>
      <c r="E549" t="s">
        <v>173</v>
      </c>
      <c r="F549" t="s">
        <v>218</v>
      </c>
      <c r="G549" s="4" t="s">
        <v>3027</v>
      </c>
      <c r="H549" s="4" t="s">
        <v>244</v>
      </c>
      <c r="I549" t="s">
        <v>3035</v>
      </c>
      <c r="J549" s="5">
        <v>41858</v>
      </c>
      <c r="K549" t="s">
        <v>509</v>
      </c>
      <c r="L549" t="s">
        <v>2610</v>
      </c>
      <c r="M549"/>
      <c r="N549"/>
      <c r="O549"/>
      <c r="P549"/>
      <c r="Q549" s="41"/>
      <c r="R549" s="41"/>
      <c r="S549" s="41"/>
      <c r="T549" s="41"/>
      <c r="U549"/>
      <c r="V549" s="4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</row>
    <row r="550" spans="1:45" x14ac:dyDescent="0.3">
      <c r="A550">
        <v>4008</v>
      </c>
      <c r="B550" t="s">
        <v>3227</v>
      </c>
      <c r="C550" s="38" t="s">
        <v>2545</v>
      </c>
      <c r="D550" s="4" t="s">
        <v>599</v>
      </c>
      <c r="E550">
        <v>51443</v>
      </c>
      <c r="F550" t="s">
        <v>217</v>
      </c>
      <c r="G550" s="4" t="s">
        <v>244</v>
      </c>
      <c r="H550" s="4" t="s">
        <v>244</v>
      </c>
      <c r="I550" t="s">
        <v>3035</v>
      </c>
      <c r="J550" s="5">
        <v>41858</v>
      </c>
      <c r="K550" t="s">
        <v>509</v>
      </c>
      <c r="L550" t="s">
        <v>2610</v>
      </c>
    </row>
    <row r="551" spans="1:45" x14ac:dyDescent="0.3">
      <c r="A551">
        <v>2277</v>
      </c>
      <c r="B551" s="37" t="s">
        <v>3255</v>
      </c>
      <c r="C551" s="38" t="s">
        <v>2712</v>
      </c>
      <c r="D551" s="4" t="s">
        <v>599</v>
      </c>
      <c r="E551" t="s">
        <v>3202</v>
      </c>
      <c r="F551" t="s">
        <v>214</v>
      </c>
      <c r="G551" s="4" t="s">
        <v>3024</v>
      </c>
      <c r="H551" s="4" t="s">
        <v>213</v>
      </c>
      <c r="I551" t="s">
        <v>3035</v>
      </c>
      <c r="J551" s="5">
        <v>41921</v>
      </c>
      <c r="K551" t="s">
        <v>509</v>
      </c>
      <c r="L551" s="4" t="s">
        <v>2610</v>
      </c>
      <c r="M551" s="6"/>
      <c r="N551" s="6"/>
      <c r="O551" s="4"/>
      <c r="P551" s="4"/>
      <c r="Q551" s="41"/>
      <c r="R551" s="41"/>
      <c r="S551" s="41"/>
      <c r="T551" s="41"/>
      <c r="U551" s="4"/>
      <c r="V551" s="4"/>
      <c r="W551" s="4"/>
      <c r="AS551"/>
    </row>
    <row r="552" spans="1:45" x14ac:dyDescent="0.3">
      <c r="A552">
        <v>2277</v>
      </c>
      <c r="B552" s="37" t="s">
        <v>3255</v>
      </c>
      <c r="C552" s="38" t="s">
        <v>2712</v>
      </c>
      <c r="D552" s="4" t="s">
        <v>599</v>
      </c>
      <c r="E552" t="s">
        <v>226</v>
      </c>
      <c r="F552" t="s">
        <v>226</v>
      </c>
      <c r="G552" s="4" t="s">
        <v>3024</v>
      </c>
      <c r="H552" s="4" t="s">
        <v>213</v>
      </c>
      <c r="I552" t="s">
        <v>3035</v>
      </c>
      <c r="J552" s="5">
        <v>41921</v>
      </c>
      <c r="K552" t="s">
        <v>509</v>
      </c>
      <c r="L552" s="4" t="s">
        <v>2610</v>
      </c>
      <c r="M552" s="6"/>
      <c r="N552" s="6"/>
      <c r="O552" s="4"/>
      <c r="P552" s="4"/>
      <c r="Q552" s="41"/>
      <c r="R552" s="41"/>
      <c r="S552" s="41"/>
      <c r="T552" s="41"/>
      <c r="U552" s="4"/>
      <c r="V552" s="4"/>
      <c r="W552" s="4"/>
      <c r="AS552"/>
    </row>
    <row r="553" spans="1:45" s="10" customFormat="1" x14ac:dyDescent="0.3">
      <c r="A553">
        <v>4091</v>
      </c>
      <c r="B553" s="46" t="s">
        <v>3261</v>
      </c>
      <c r="C553" s="38" t="s">
        <v>2867</v>
      </c>
      <c r="D553" s="4" t="s">
        <v>599</v>
      </c>
      <c r="E553" s="10">
        <v>51454</v>
      </c>
      <c r="F553" t="s">
        <v>217</v>
      </c>
      <c r="G553" s="4" t="s">
        <v>244</v>
      </c>
      <c r="H553" s="4" t="s">
        <v>244</v>
      </c>
      <c r="I553" t="s">
        <v>3035</v>
      </c>
      <c r="J553" s="5">
        <v>41927</v>
      </c>
      <c r="K553" t="s">
        <v>509</v>
      </c>
      <c r="L553" s="4" t="s">
        <v>2610</v>
      </c>
      <c r="M553" s="6"/>
      <c r="N553" s="6" t="s">
        <v>2610</v>
      </c>
      <c r="O553" s="4"/>
      <c r="P553" s="4"/>
      <c r="Q553" s="41"/>
      <c r="R553" s="41"/>
      <c r="S553" s="41"/>
      <c r="T553" s="41"/>
      <c r="U553" s="41"/>
      <c r="V553" s="4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</row>
    <row r="554" spans="1:45" x14ac:dyDescent="0.3">
      <c r="A554">
        <v>3209</v>
      </c>
      <c r="B554" s="37" t="s">
        <v>3304</v>
      </c>
      <c r="C554" s="38" t="s">
        <v>2500</v>
      </c>
      <c r="D554" s="4" t="s">
        <v>599</v>
      </c>
      <c r="E554" t="s">
        <v>2515</v>
      </c>
      <c r="F554" t="s">
        <v>225</v>
      </c>
      <c r="G554" s="4" t="s">
        <v>142</v>
      </c>
      <c r="H554" s="4" t="s">
        <v>213</v>
      </c>
      <c r="I554" t="s">
        <v>3035</v>
      </c>
      <c r="J554" s="5">
        <v>42025</v>
      </c>
      <c r="K554" t="s">
        <v>509</v>
      </c>
      <c r="L554" s="4" t="s">
        <v>2610</v>
      </c>
      <c r="M554" s="6"/>
      <c r="N554" s="6" t="s">
        <v>2610</v>
      </c>
      <c r="O554" s="4"/>
      <c r="P554" s="4"/>
      <c r="Q554" s="41"/>
      <c r="R554" s="41"/>
      <c r="S554" s="41"/>
      <c r="T554" s="41"/>
      <c r="U554" s="4"/>
      <c r="V554" s="4"/>
      <c r="AS554"/>
    </row>
    <row r="555" spans="1:45" x14ac:dyDescent="0.3">
      <c r="A555">
        <v>3171</v>
      </c>
      <c r="B555" s="37" t="s">
        <v>3332</v>
      </c>
      <c r="C555" s="38" t="s">
        <v>323</v>
      </c>
      <c r="D555" s="4" t="s">
        <v>599</v>
      </c>
      <c r="E555">
        <v>60423</v>
      </c>
      <c r="F555" t="s">
        <v>214</v>
      </c>
      <c r="G555" s="4" t="s">
        <v>244</v>
      </c>
      <c r="H555" s="4" t="s">
        <v>244</v>
      </c>
      <c r="I555" t="s">
        <v>3035</v>
      </c>
      <c r="J555" s="5">
        <v>42038</v>
      </c>
      <c r="K555" t="s">
        <v>509</v>
      </c>
      <c r="L555" s="4" t="s">
        <v>2610</v>
      </c>
      <c r="M555" s="6"/>
      <c r="N555" s="6" t="s">
        <v>2610</v>
      </c>
      <c r="O555" s="4"/>
      <c r="P555" s="4"/>
      <c r="Q555" s="41"/>
      <c r="R555" s="41"/>
      <c r="S555" s="41"/>
      <c r="T555" s="41"/>
      <c r="U555" s="41"/>
      <c r="V555" s="4"/>
      <c r="AS555"/>
    </row>
    <row r="556" spans="1:45" x14ac:dyDescent="0.3">
      <c r="A556">
        <v>3195</v>
      </c>
      <c r="B556" s="37" t="s">
        <v>3333</v>
      </c>
      <c r="C556" s="38" t="s">
        <v>2403</v>
      </c>
      <c r="D556" s="4" t="s">
        <v>599</v>
      </c>
      <c r="E556" t="s">
        <v>2422</v>
      </c>
      <c r="F556" t="s">
        <v>214</v>
      </c>
      <c r="G556" s="4" t="s">
        <v>142</v>
      </c>
      <c r="H556" s="4" t="s">
        <v>244</v>
      </c>
      <c r="I556" t="s">
        <v>3035</v>
      </c>
      <c r="J556" s="5">
        <v>42038</v>
      </c>
      <c r="K556" t="s">
        <v>509</v>
      </c>
      <c r="L556" s="4" t="s">
        <v>2610</v>
      </c>
      <c r="M556" s="6"/>
      <c r="N556" s="6" t="s">
        <v>2610</v>
      </c>
      <c r="O556" s="4"/>
      <c r="P556" s="4"/>
      <c r="Q556" s="41"/>
      <c r="R556" s="41"/>
      <c r="S556" s="41"/>
      <c r="T556" s="41"/>
      <c r="U556" s="41"/>
      <c r="V556" s="4"/>
      <c r="AS556"/>
    </row>
    <row r="557" spans="1:45" s="10" customFormat="1" x14ac:dyDescent="0.3">
      <c r="A557">
        <v>4004</v>
      </c>
      <c r="B557" s="37" t="s">
        <v>3334</v>
      </c>
      <c r="C557" s="38" t="s">
        <v>2708</v>
      </c>
      <c r="D557" s="4" t="s">
        <v>599</v>
      </c>
      <c r="E557" t="s">
        <v>217</v>
      </c>
      <c r="F557" t="s">
        <v>217</v>
      </c>
      <c r="G557" s="4" t="s">
        <v>2715</v>
      </c>
      <c r="H557" s="4" t="s">
        <v>244</v>
      </c>
      <c r="I557" t="s">
        <v>3035</v>
      </c>
      <c r="J557" s="5">
        <v>42038</v>
      </c>
      <c r="K557" t="s">
        <v>509</v>
      </c>
      <c r="L557" s="4" t="s">
        <v>2610</v>
      </c>
      <c r="M557" s="6"/>
      <c r="N557" s="6" t="s">
        <v>2610</v>
      </c>
      <c r="O557" s="4"/>
      <c r="P557" s="4"/>
      <c r="Q557" s="41"/>
      <c r="R557" s="41"/>
      <c r="S557" s="41"/>
      <c r="T557" s="41"/>
      <c r="U557" s="41"/>
      <c r="V557" s="4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</row>
    <row r="558" spans="1:45" s="10" customFormat="1" x14ac:dyDescent="0.3">
      <c r="A558">
        <v>4004</v>
      </c>
      <c r="B558" s="37" t="s">
        <v>3334</v>
      </c>
      <c r="C558" s="38" t="s">
        <v>2708</v>
      </c>
      <c r="D558" s="4" t="s">
        <v>599</v>
      </c>
      <c r="E558" t="s">
        <v>2864</v>
      </c>
      <c r="F558" t="s">
        <v>2864</v>
      </c>
      <c r="G558" s="4" t="s">
        <v>2715</v>
      </c>
      <c r="H558" s="4" t="s">
        <v>244</v>
      </c>
      <c r="I558" t="s">
        <v>3035</v>
      </c>
      <c r="J558" s="5">
        <v>42038</v>
      </c>
      <c r="K558" t="s">
        <v>509</v>
      </c>
      <c r="L558" s="4" t="s">
        <v>2610</v>
      </c>
      <c r="M558" s="6"/>
      <c r="N558" s="6" t="s">
        <v>2610</v>
      </c>
      <c r="O558" s="4"/>
      <c r="P558" s="4"/>
      <c r="Q558" s="41"/>
      <c r="R558" s="41"/>
      <c r="S558" s="41"/>
      <c r="T558" s="41"/>
      <c r="U558" s="41"/>
      <c r="V558" s="4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</row>
    <row r="559" spans="1:45" s="10" customFormat="1" x14ac:dyDescent="0.3">
      <c r="A559">
        <v>6182</v>
      </c>
      <c r="B559" s="37" t="s">
        <v>3335</v>
      </c>
      <c r="C559" s="38" t="s">
        <v>479</v>
      </c>
      <c r="D559" s="4" t="s">
        <v>599</v>
      </c>
      <c r="E559" t="s">
        <v>186</v>
      </c>
      <c r="F559" t="s">
        <v>225</v>
      </c>
      <c r="G559" s="4" t="s">
        <v>142</v>
      </c>
      <c r="H559" s="4" t="s">
        <v>244</v>
      </c>
      <c r="I559" t="s">
        <v>3035</v>
      </c>
      <c r="J559" s="5">
        <v>42038</v>
      </c>
      <c r="K559" t="s">
        <v>509</v>
      </c>
      <c r="L559" s="4" t="s">
        <v>2610</v>
      </c>
      <c r="M559" s="6"/>
      <c r="N559" s="6" t="s">
        <v>2610</v>
      </c>
      <c r="O559" s="4"/>
      <c r="P559" s="4"/>
      <c r="Q559" s="41"/>
      <c r="R559" s="41"/>
      <c r="S559" s="41"/>
      <c r="T559" s="41"/>
      <c r="U559" s="4"/>
      <c r="V559" s="4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</row>
    <row r="560" spans="1:45" s="10" customFormat="1" x14ac:dyDescent="0.3">
      <c r="A560">
        <v>4116</v>
      </c>
      <c r="B560" s="37" t="s">
        <v>3337</v>
      </c>
      <c r="C560" s="38" t="s">
        <v>2957</v>
      </c>
      <c r="D560" s="4" t="s">
        <v>599</v>
      </c>
      <c r="E560" s="10" t="s">
        <v>2955</v>
      </c>
      <c r="F560" t="s">
        <v>217</v>
      </c>
      <c r="G560" s="4" t="s">
        <v>142</v>
      </c>
      <c r="H560" s="4" t="s">
        <v>244</v>
      </c>
      <c r="I560" t="s">
        <v>535</v>
      </c>
      <c r="J560" s="5">
        <v>42038</v>
      </c>
      <c r="K560" t="s">
        <v>509</v>
      </c>
      <c r="L560" s="4" t="s">
        <v>2610</v>
      </c>
      <c r="M560" s="6"/>
      <c r="N560" s="6" t="s">
        <v>2610</v>
      </c>
      <c r="O560" s="4"/>
      <c r="P560" s="4"/>
      <c r="Q560" s="41"/>
      <c r="R560" s="41"/>
      <c r="S560" s="41"/>
      <c r="T560" s="41"/>
      <c r="U560" s="4"/>
      <c r="V560" s="4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</row>
    <row r="561" spans="1:45" x14ac:dyDescent="0.3">
      <c r="A561">
        <v>3163</v>
      </c>
      <c r="B561" s="37" t="s">
        <v>3350</v>
      </c>
      <c r="C561" s="38" t="s">
        <v>280</v>
      </c>
      <c r="D561" s="4" t="s">
        <v>599</v>
      </c>
      <c r="E561">
        <v>25009</v>
      </c>
      <c r="F561" t="s">
        <v>226</v>
      </c>
      <c r="G561" s="4" t="s">
        <v>244</v>
      </c>
      <c r="H561" s="4" t="s">
        <v>244</v>
      </c>
      <c r="I561" t="s">
        <v>535</v>
      </c>
      <c r="J561" s="5">
        <v>42019</v>
      </c>
      <c r="K561" t="s">
        <v>509</v>
      </c>
      <c r="L561" s="4" t="s">
        <v>2610</v>
      </c>
      <c r="M561" s="6"/>
      <c r="N561" s="6" t="s">
        <v>2610</v>
      </c>
      <c r="O561" s="4"/>
      <c r="P561" s="4"/>
      <c r="Q561" s="41"/>
      <c r="R561" s="41"/>
      <c r="S561" s="41"/>
      <c r="T561" s="41"/>
      <c r="U561" s="41"/>
      <c r="V561" s="4"/>
      <c r="AS561"/>
    </row>
    <row r="562" spans="1:45" s="10" customFormat="1" x14ac:dyDescent="0.3">
      <c r="A562">
        <v>4042</v>
      </c>
      <c r="B562" s="37" t="s">
        <v>3351</v>
      </c>
      <c r="C562" s="38" t="s">
        <v>2657</v>
      </c>
      <c r="D562" s="4" t="s">
        <v>599</v>
      </c>
      <c r="E562" s="10">
        <v>51445</v>
      </c>
      <c r="F562" t="s">
        <v>217</v>
      </c>
      <c r="G562" s="4" t="s">
        <v>244</v>
      </c>
      <c r="H562" s="4" t="s">
        <v>244</v>
      </c>
      <c r="I562" t="s">
        <v>535</v>
      </c>
      <c r="J562" s="5">
        <v>42060</v>
      </c>
      <c r="K562" t="s">
        <v>509</v>
      </c>
      <c r="L562" s="4" t="s">
        <v>2610</v>
      </c>
      <c r="M562" s="6"/>
      <c r="N562" s="6" t="s">
        <v>2610</v>
      </c>
      <c r="O562" s="4"/>
      <c r="P562" s="4"/>
      <c r="Q562" s="41"/>
      <c r="R562" s="41"/>
      <c r="S562" s="41"/>
      <c r="T562" s="41"/>
      <c r="U562" s="41"/>
      <c r="V562" s="4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</row>
    <row r="563" spans="1:45" x14ac:dyDescent="0.3">
      <c r="A563">
        <v>3167</v>
      </c>
      <c r="B563" s="37" t="s">
        <v>3370</v>
      </c>
      <c r="C563" s="38" t="s">
        <v>2887</v>
      </c>
      <c r="D563" s="4" t="s">
        <v>599</v>
      </c>
      <c r="E563" s="10">
        <v>60420</v>
      </c>
      <c r="F563" t="s">
        <v>214</v>
      </c>
      <c r="G563" s="4" t="s">
        <v>244</v>
      </c>
      <c r="H563" s="4" t="s">
        <v>244</v>
      </c>
      <c r="I563" t="s">
        <v>535</v>
      </c>
      <c r="J563" s="5">
        <v>42055</v>
      </c>
      <c r="K563" t="s">
        <v>509</v>
      </c>
      <c r="L563" s="4" t="s">
        <v>2610</v>
      </c>
      <c r="M563" s="6"/>
      <c r="N563" s="6" t="s">
        <v>2610</v>
      </c>
      <c r="O563" s="4"/>
      <c r="P563" s="4"/>
      <c r="Q563" s="41"/>
      <c r="R563" s="41"/>
      <c r="S563" s="41"/>
      <c r="T563" s="41"/>
      <c r="U563" s="41"/>
      <c r="V563" s="4"/>
      <c r="AS563"/>
    </row>
    <row r="564" spans="1:45" s="10" customFormat="1" x14ac:dyDescent="0.3">
      <c r="A564">
        <v>4166</v>
      </c>
      <c r="B564" s="37" t="s">
        <v>3494</v>
      </c>
      <c r="C564" s="38" t="s">
        <v>3201</v>
      </c>
      <c r="D564" s="4" t="s">
        <v>599</v>
      </c>
      <c r="E564" t="s">
        <v>217</v>
      </c>
      <c r="F564" t="s">
        <v>217</v>
      </c>
      <c r="G564" s="4" t="s">
        <v>2715</v>
      </c>
      <c r="H564" s="4" t="s">
        <v>244</v>
      </c>
      <c r="I564" t="s">
        <v>535</v>
      </c>
      <c r="J564" s="5">
        <v>42152</v>
      </c>
      <c r="K564" t="s">
        <v>509</v>
      </c>
      <c r="L564" s="4" t="s">
        <v>2610</v>
      </c>
      <c r="M564" s="6"/>
      <c r="N564" s="6"/>
      <c r="O564" s="4"/>
      <c r="P564" s="4"/>
      <c r="Q564" s="41"/>
      <c r="R564" s="41"/>
      <c r="S564" s="41"/>
      <c r="T564" s="41"/>
      <c r="U564" s="41"/>
      <c r="V564" s="4"/>
      <c r="W564" s="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</row>
    <row r="565" spans="1:45" s="10" customFormat="1" x14ac:dyDescent="0.3">
      <c r="A565">
        <v>6068</v>
      </c>
      <c r="B565" s="37" t="s">
        <v>3498</v>
      </c>
      <c r="C565" s="38" t="s">
        <v>454</v>
      </c>
      <c r="D565" s="4" t="s">
        <v>599</v>
      </c>
      <c r="E565" t="s">
        <v>161</v>
      </c>
      <c r="F565" t="s">
        <v>217</v>
      </c>
      <c r="G565" s="4" t="s">
        <v>142</v>
      </c>
      <c r="H565" s="4" t="s">
        <v>244</v>
      </c>
      <c r="I565" t="s">
        <v>3035</v>
      </c>
      <c r="J565" s="5">
        <v>42181</v>
      </c>
      <c r="K565" t="s">
        <v>509</v>
      </c>
      <c r="L565" s="4" t="s">
        <v>2610</v>
      </c>
      <c r="M565" s="6"/>
      <c r="N565" s="6"/>
      <c r="O565" s="4"/>
      <c r="P565" s="4"/>
      <c r="Q565" s="41"/>
      <c r="R565" s="41"/>
      <c r="S565" s="41"/>
      <c r="T565" s="41"/>
      <c r="U565" s="4"/>
      <c r="V565" s="4"/>
      <c r="W565" s="41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</row>
    <row r="566" spans="1:45" s="10" customFormat="1" x14ac:dyDescent="0.3">
      <c r="A566">
        <v>4201</v>
      </c>
      <c r="B566" s="37" t="s">
        <v>3529</v>
      </c>
      <c r="C566" s="60" t="s">
        <v>3371</v>
      </c>
      <c r="D566" s="4" t="s">
        <v>599</v>
      </c>
      <c r="E566">
        <v>41685</v>
      </c>
      <c r="F566" t="s">
        <v>215</v>
      </c>
      <c r="G566" s="4" t="s">
        <v>244</v>
      </c>
      <c r="H566" s="4" t="s">
        <v>244</v>
      </c>
      <c r="I566" t="s">
        <v>3035</v>
      </c>
      <c r="J566" s="5">
        <v>42247</v>
      </c>
      <c r="K566" t="s">
        <v>509</v>
      </c>
      <c r="L566" s="4" t="s">
        <v>2610</v>
      </c>
      <c r="M566" s="6"/>
      <c r="N566" s="6"/>
      <c r="O566" s="4"/>
      <c r="P566" s="59"/>
      <c r="Q566" s="41"/>
      <c r="R566" s="41"/>
      <c r="S566" s="41"/>
      <c r="T566" s="41"/>
      <c r="U566" s="41"/>
      <c r="V566" s="59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</row>
    <row r="567" spans="1:45" s="10" customFormat="1" x14ac:dyDescent="0.3">
      <c r="A567">
        <v>3311</v>
      </c>
      <c r="B567" s="37" t="s">
        <v>3540</v>
      </c>
      <c r="C567" s="60" t="s">
        <v>3352</v>
      </c>
      <c r="D567" s="4" t="s">
        <v>599</v>
      </c>
      <c r="E567">
        <v>25011</v>
      </c>
      <c r="F567" t="s">
        <v>226</v>
      </c>
      <c r="G567" s="4" t="s">
        <v>244</v>
      </c>
      <c r="H567" s="4" t="s">
        <v>244</v>
      </c>
      <c r="I567" t="s">
        <v>3035</v>
      </c>
      <c r="J567" s="5">
        <v>42248</v>
      </c>
      <c r="K567" t="s">
        <v>509</v>
      </c>
      <c r="L567" s="4" t="s">
        <v>2610</v>
      </c>
      <c r="M567" s="6"/>
      <c r="N567" s="6"/>
      <c r="O567" s="4"/>
      <c r="P567" s="59"/>
      <c r="Q567" s="41"/>
      <c r="R567" s="41"/>
      <c r="S567" s="41"/>
      <c r="T567" s="41"/>
      <c r="U567" s="41"/>
      <c r="V567" s="59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</row>
    <row r="568" spans="1:45" x14ac:dyDescent="0.3">
      <c r="A568">
        <v>1139</v>
      </c>
      <c r="B568" s="37" t="s">
        <v>3541</v>
      </c>
      <c r="C568" s="38" t="s">
        <v>278</v>
      </c>
      <c r="D568" s="4" t="s">
        <v>599</v>
      </c>
      <c r="E568">
        <v>20401</v>
      </c>
      <c r="F568" t="s">
        <v>216</v>
      </c>
      <c r="G568" s="4" t="s">
        <v>244</v>
      </c>
      <c r="H568" s="4" t="s">
        <v>244</v>
      </c>
      <c r="I568" t="s">
        <v>3035</v>
      </c>
      <c r="J568" s="5">
        <v>42251</v>
      </c>
      <c r="K568" t="s">
        <v>509</v>
      </c>
      <c r="L568" s="4" t="s">
        <v>2610</v>
      </c>
      <c r="M568" s="6"/>
      <c r="N568" s="6"/>
      <c r="O568" s="4"/>
      <c r="P568" s="4"/>
      <c r="Q568" s="41"/>
      <c r="R568" s="41"/>
      <c r="S568" s="41"/>
      <c r="T568" s="41"/>
      <c r="U568" s="41"/>
      <c r="V568" s="4"/>
      <c r="AS568"/>
    </row>
    <row r="569" spans="1:45" s="10" customFormat="1" x14ac:dyDescent="0.3">
      <c r="A569">
        <v>3299</v>
      </c>
      <c r="B569" s="37" t="s">
        <v>3542</v>
      </c>
      <c r="C569" s="38" t="s">
        <v>3262</v>
      </c>
      <c r="D569" s="4" t="s">
        <v>599</v>
      </c>
      <c r="E569" t="s">
        <v>3263</v>
      </c>
      <c r="F569" t="s">
        <v>214</v>
      </c>
      <c r="G569" s="4" t="s">
        <v>142</v>
      </c>
      <c r="H569" s="4" t="s">
        <v>244</v>
      </c>
      <c r="I569" t="s">
        <v>535</v>
      </c>
      <c r="J569" s="5">
        <v>42249</v>
      </c>
      <c r="K569" t="s">
        <v>509</v>
      </c>
      <c r="L569" s="4" t="s">
        <v>2610</v>
      </c>
      <c r="M569" s="6"/>
      <c r="N569" s="6"/>
      <c r="O569" s="4"/>
      <c r="P569" s="4"/>
      <c r="Q569" s="41"/>
      <c r="R569" s="41"/>
      <c r="S569" s="41"/>
      <c r="T569" s="41"/>
      <c r="U569" s="41"/>
      <c r="V569" s="4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</row>
    <row r="570" spans="1:45" s="10" customFormat="1" x14ac:dyDescent="0.3">
      <c r="A570">
        <v>4072</v>
      </c>
      <c r="B570" s="46" t="s">
        <v>3543</v>
      </c>
      <c r="C570" s="38" t="s">
        <v>2855</v>
      </c>
      <c r="D570" s="4" t="s">
        <v>599</v>
      </c>
      <c r="E570" s="10">
        <v>51450</v>
      </c>
      <c r="F570" t="s">
        <v>217</v>
      </c>
      <c r="G570" s="4" t="s">
        <v>244</v>
      </c>
      <c r="H570" s="4" t="s">
        <v>244</v>
      </c>
      <c r="I570" t="s">
        <v>535</v>
      </c>
      <c r="J570" s="5">
        <v>42268</v>
      </c>
      <c r="K570" t="s">
        <v>509</v>
      </c>
      <c r="L570" s="4" t="s">
        <v>2610</v>
      </c>
      <c r="M570" s="6"/>
      <c r="N570" s="6" t="s">
        <v>2610</v>
      </c>
      <c r="O570" s="4"/>
      <c r="P570" s="4"/>
      <c r="Q570" s="41"/>
      <c r="R570" s="41"/>
      <c r="S570" s="41"/>
      <c r="T570" s="41"/>
      <c r="U570" s="41"/>
      <c r="V570" s="4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</row>
    <row r="571" spans="1:45" x14ac:dyDescent="0.3">
      <c r="A571">
        <v>1211</v>
      </c>
      <c r="B571" s="37" t="s">
        <v>3556</v>
      </c>
      <c r="C571" s="38" t="s">
        <v>247</v>
      </c>
      <c r="D571" s="4" t="s">
        <v>599</v>
      </c>
      <c r="E571">
        <v>41606</v>
      </c>
      <c r="F571" t="s">
        <v>215</v>
      </c>
      <c r="G571" s="4" t="s">
        <v>244</v>
      </c>
      <c r="H571" s="4" t="s">
        <v>244</v>
      </c>
      <c r="I571" t="s">
        <v>535</v>
      </c>
      <c r="J571" s="5">
        <v>42271</v>
      </c>
      <c r="K571" t="s">
        <v>509</v>
      </c>
      <c r="L571" s="4" t="s">
        <v>2610</v>
      </c>
      <c r="M571" s="6"/>
      <c r="N571" s="6" t="s">
        <v>2610</v>
      </c>
      <c r="O571" s="4"/>
      <c r="P571" s="4"/>
      <c r="Q571" s="41"/>
      <c r="R571" s="41"/>
      <c r="S571" s="41"/>
      <c r="T571" s="41"/>
      <c r="U571" s="41"/>
      <c r="V571" s="4"/>
      <c r="AS571"/>
    </row>
    <row r="572" spans="1:45" x14ac:dyDescent="0.3">
      <c r="A572">
        <v>3246</v>
      </c>
      <c r="B572" s="37" t="s">
        <v>3557</v>
      </c>
      <c r="C572" s="38" t="s">
        <v>407</v>
      </c>
      <c r="D572" s="4" t="s">
        <v>599</v>
      </c>
      <c r="E572" t="s">
        <v>106</v>
      </c>
      <c r="F572" t="s">
        <v>223</v>
      </c>
      <c r="G572" s="4" t="s">
        <v>3008</v>
      </c>
      <c r="H572" s="4" t="s">
        <v>244</v>
      </c>
      <c r="I572" t="s">
        <v>535</v>
      </c>
      <c r="J572" s="5">
        <v>42247</v>
      </c>
      <c r="K572" s="10" t="s">
        <v>3034</v>
      </c>
      <c r="L572" s="4" t="s">
        <v>2610</v>
      </c>
      <c r="M572" s="6"/>
      <c r="N572" s="6" t="s">
        <v>2610</v>
      </c>
      <c r="O572" s="4"/>
      <c r="P572" s="4"/>
      <c r="Q572" s="41"/>
      <c r="R572" s="41"/>
      <c r="S572" s="41"/>
      <c r="T572" s="41"/>
      <c r="U572" s="41"/>
      <c r="V572" s="4"/>
      <c r="AS572"/>
    </row>
    <row r="573" spans="1:45" x14ac:dyDescent="0.3">
      <c r="A573">
        <v>3246</v>
      </c>
      <c r="B573" s="37" t="s">
        <v>3557</v>
      </c>
      <c r="C573" s="38" t="s">
        <v>407</v>
      </c>
      <c r="D573" s="4" t="s">
        <v>599</v>
      </c>
      <c r="E573" t="s">
        <v>2884</v>
      </c>
      <c r="F573" t="s">
        <v>223</v>
      </c>
      <c r="G573" s="4" t="s">
        <v>3008</v>
      </c>
      <c r="H573" s="4" t="s">
        <v>244</v>
      </c>
      <c r="I573" t="s">
        <v>535</v>
      </c>
      <c r="J573" s="5">
        <v>42247</v>
      </c>
      <c r="K573" s="10" t="s">
        <v>3090</v>
      </c>
      <c r="L573" s="4" t="s">
        <v>2610</v>
      </c>
      <c r="M573" s="6"/>
      <c r="N573" s="6" t="s">
        <v>2610</v>
      </c>
      <c r="O573" s="4"/>
      <c r="P573" s="4"/>
      <c r="Q573" s="41"/>
      <c r="R573" s="41"/>
      <c r="S573" s="41"/>
      <c r="T573" s="41"/>
      <c r="U573" s="41"/>
      <c r="V573" s="4"/>
      <c r="AS573"/>
    </row>
    <row r="574" spans="1:45" s="10" customFormat="1" x14ac:dyDescent="0.3">
      <c r="A574">
        <v>4141</v>
      </c>
      <c r="B574" s="37" t="s">
        <v>3589</v>
      </c>
      <c r="C574" s="38" t="s">
        <v>3081</v>
      </c>
      <c r="D574" s="4" t="s">
        <v>599</v>
      </c>
      <c r="E574" t="s">
        <v>3087</v>
      </c>
      <c r="F574" t="s">
        <v>215</v>
      </c>
      <c r="G574" s="4" t="s">
        <v>142</v>
      </c>
      <c r="H574" s="4" t="s">
        <v>244</v>
      </c>
      <c r="I574" t="s">
        <v>535</v>
      </c>
      <c r="J574" s="5">
        <v>42314</v>
      </c>
      <c r="K574" t="s">
        <v>509</v>
      </c>
      <c r="L574" s="4" t="s">
        <v>2610</v>
      </c>
      <c r="M574" s="6"/>
      <c r="N574" s="6" t="s">
        <v>2610</v>
      </c>
      <c r="O574" s="4"/>
      <c r="P574" s="4"/>
      <c r="Q574" s="41"/>
      <c r="R574" s="41"/>
      <c r="S574" s="41"/>
      <c r="T574" s="41"/>
      <c r="U574" s="41"/>
      <c r="V574" s="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</row>
    <row r="575" spans="1:45" x14ac:dyDescent="0.3">
      <c r="A575">
        <v>6246</v>
      </c>
      <c r="B575" s="37" t="s">
        <v>3600</v>
      </c>
      <c r="C575" s="38" t="s">
        <v>261</v>
      </c>
      <c r="D575" s="4" t="s">
        <v>599</v>
      </c>
      <c r="E575">
        <v>41603</v>
      </c>
      <c r="F575" t="s">
        <v>215</v>
      </c>
      <c r="G575" s="4" t="s">
        <v>244</v>
      </c>
      <c r="H575" s="4" t="s">
        <v>244</v>
      </c>
      <c r="I575" t="s">
        <v>535</v>
      </c>
      <c r="J575" s="5">
        <v>42327</v>
      </c>
      <c r="K575" t="s">
        <v>509</v>
      </c>
      <c r="L575" s="4" t="s">
        <v>2610</v>
      </c>
      <c r="M575" s="6"/>
      <c r="N575" s="6" t="s">
        <v>2610</v>
      </c>
      <c r="O575" s="4"/>
      <c r="P575" s="4"/>
      <c r="Q575" s="41"/>
      <c r="R575" s="41"/>
      <c r="S575" s="41"/>
      <c r="T575" s="41"/>
      <c r="U575" s="41"/>
      <c r="V575" s="4"/>
      <c r="AS575"/>
    </row>
    <row r="576" spans="1:45" s="10" customFormat="1" x14ac:dyDescent="0.3">
      <c r="A576">
        <v>6151</v>
      </c>
      <c r="B576" s="37" t="s">
        <v>3608</v>
      </c>
      <c r="C576" s="38" t="s">
        <v>267</v>
      </c>
      <c r="D576" s="4" t="s">
        <v>599</v>
      </c>
      <c r="E576">
        <v>40303</v>
      </c>
      <c r="F576" t="s">
        <v>223</v>
      </c>
      <c r="G576" s="4" t="s">
        <v>244</v>
      </c>
      <c r="H576" s="4" t="s">
        <v>244</v>
      </c>
      <c r="I576" t="s">
        <v>212</v>
      </c>
      <c r="J576" s="5">
        <v>42354</v>
      </c>
      <c r="K576" t="s">
        <v>509</v>
      </c>
      <c r="L576" s="4" t="s">
        <v>2610</v>
      </c>
      <c r="M576" s="6"/>
      <c r="N576" s="6" t="s">
        <v>2610</v>
      </c>
      <c r="O576" s="4"/>
      <c r="P576" s="4"/>
      <c r="Q576" s="41"/>
      <c r="R576" s="41"/>
      <c r="S576" s="41"/>
      <c r="T576" s="41"/>
      <c r="U576" s="41"/>
      <c r="V576" s="4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</row>
    <row r="577" spans="1:45" x14ac:dyDescent="0.3">
      <c r="A577">
        <v>3217</v>
      </c>
      <c r="B577" s="37" t="s">
        <v>3609</v>
      </c>
      <c r="C577" s="38" t="s">
        <v>2685</v>
      </c>
      <c r="D577" s="4" t="s">
        <v>599</v>
      </c>
      <c r="E577" s="10">
        <v>30612</v>
      </c>
      <c r="F577" t="s">
        <v>214</v>
      </c>
      <c r="G577" s="4" t="s">
        <v>244</v>
      </c>
      <c r="H577" s="4" t="s">
        <v>244</v>
      </c>
      <c r="I577" t="s">
        <v>535</v>
      </c>
      <c r="J577" s="5">
        <v>42354</v>
      </c>
      <c r="K577" t="s">
        <v>509</v>
      </c>
      <c r="L577" s="4" t="s">
        <v>2610</v>
      </c>
      <c r="M577" s="6"/>
      <c r="N577" s="6" t="s">
        <v>2610</v>
      </c>
      <c r="O577" s="4"/>
      <c r="P577" s="4"/>
      <c r="Q577" s="41"/>
      <c r="R577" s="41"/>
      <c r="S577" s="41"/>
      <c r="T577" s="41"/>
      <c r="U577" s="41"/>
      <c r="V577" s="4"/>
      <c r="AS577"/>
    </row>
    <row r="578" spans="1:45" x14ac:dyDescent="0.3">
      <c r="A578">
        <v>3275</v>
      </c>
      <c r="B578" s="37" t="s">
        <v>3610</v>
      </c>
      <c r="C578" s="38" t="s">
        <v>3156</v>
      </c>
      <c r="D578" s="4" t="s">
        <v>599</v>
      </c>
      <c r="E578">
        <v>40329</v>
      </c>
      <c r="F578" t="s">
        <v>223</v>
      </c>
      <c r="G578" s="4" t="s">
        <v>244</v>
      </c>
      <c r="H578" s="4" t="s">
        <v>244</v>
      </c>
      <c r="I578" t="s">
        <v>535</v>
      </c>
      <c r="J578" s="5">
        <v>42354</v>
      </c>
      <c r="K578" t="s">
        <v>509</v>
      </c>
      <c r="L578" s="4" t="s">
        <v>2610</v>
      </c>
      <c r="M578" s="6"/>
      <c r="N578" s="6" t="s">
        <v>2610</v>
      </c>
      <c r="O578" s="4"/>
      <c r="P578" s="4"/>
      <c r="Q578" s="41"/>
      <c r="R578" s="41"/>
      <c r="S578" s="41"/>
      <c r="T578" s="41"/>
      <c r="U578" s="41"/>
      <c r="V578" s="4"/>
      <c r="AS578"/>
    </row>
    <row r="579" spans="1:45" s="10" customFormat="1" x14ac:dyDescent="0.3">
      <c r="A579">
        <v>6117</v>
      </c>
      <c r="B579" s="37" t="s">
        <v>3611</v>
      </c>
      <c r="C579" s="38" t="s">
        <v>467</v>
      </c>
      <c r="D579" s="4" t="s">
        <v>599</v>
      </c>
      <c r="E579" t="s">
        <v>174</v>
      </c>
      <c r="F579" t="s">
        <v>218</v>
      </c>
      <c r="G579" s="4" t="s">
        <v>142</v>
      </c>
      <c r="H579" s="4" t="s">
        <v>244</v>
      </c>
      <c r="I579" t="s">
        <v>535</v>
      </c>
      <c r="J579" s="5">
        <v>42354</v>
      </c>
      <c r="K579" t="s">
        <v>509</v>
      </c>
      <c r="L579" s="4" t="s">
        <v>2610</v>
      </c>
      <c r="M579" s="6"/>
      <c r="N579" s="6" t="s">
        <v>2610</v>
      </c>
      <c r="O579" s="4"/>
      <c r="P579" s="4"/>
      <c r="Q579" s="41"/>
      <c r="R579" s="41"/>
      <c r="S579" s="41"/>
      <c r="T579" s="41"/>
      <c r="U579" s="41"/>
      <c r="V579" s="4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</row>
    <row r="580" spans="1:45" x14ac:dyDescent="0.3">
      <c r="A580">
        <v>1119</v>
      </c>
      <c r="B580" s="37" t="s">
        <v>3626</v>
      </c>
      <c r="C580" s="38" t="s">
        <v>299</v>
      </c>
      <c r="D580" s="4" t="s">
        <v>599</v>
      </c>
      <c r="E580">
        <v>61301</v>
      </c>
      <c r="F580" t="s">
        <v>221</v>
      </c>
      <c r="G580" s="4" t="s">
        <v>244</v>
      </c>
      <c r="H580" s="4" t="s">
        <v>244</v>
      </c>
      <c r="I580" t="s">
        <v>535</v>
      </c>
      <c r="J580" s="5">
        <v>42383</v>
      </c>
      <c r="K580" t="s">
        <v>509</v>
      </c>
      <c r="L580" s="4" t="s">
        <v>2610</v>
      </c>
      <c r="M580" s="6"/>
      <c r="N580" s="6" t="s">
        <v>2610</v>
      </c>
      <c r="O580" s="4"/>
      <c r="P580" s="4"/>
      <c r="Q580" s="41"/>
      <c r="R580" s="41"/>
      <c r="S580" s="41"/>
      <c r="T580" s="41"/>
      <c r="U580" s="41"/>
      <c r="V580" s="4"/>
      <c r="AS580"/>
    </row>
    <row r="581" spans="1:45" x14ac:dyDescent="0.3">
      <c r="A581">
        <v>1949</v>
      </c>
      <c r="B581" s="37" t="s">
        <v>3627</v>
      </c>
      <c r="C581" s="38" t="s">
        <v>508</v>
      </c>
      <c r="D581" s="4" t="s">
        <v>599</v>
      </c>
      <c r="E581" s="10" t="s">
        <v>548</v>
      </c>
      <c r="F581" t="s">
        <v>219</v>
      </c>
      <c r="G581" s="4" t="s">
        <v>142</v>
      </c>
      <c r="H581" s="4" t="s">
        <v>244</v>
      </c>
      <c r="I581" t="s">
        <v>3035</v>
      </c>
      <c r="J581" s="5">
        <v>40597</v>
      </c>
      <c r="K581" t="s">
        <v>509</v>
      </c>
      <c r="L581" s="4" t="s">
        <v>2610</v>
      </c>
      <c r="M581" s="6"/>
      <c r="N581" s="6" t="s">
        <v>2610</v>
      </c>
      <c r="O581" s="4"/>
      <c r="P581" s="4"/>
      <c r="Q581" s="41"/>
      <c r="R581" s="41"/>
      <c r="S581" s="41"/>
      <c r="T581" s="41"/>
      <c r="U581" s="41"/>
      <c r="V581" s="4"/>
      <c r="AS581"/>
    </row>
    <row r="582" spans="1:45" x14ac:dyDescent="0.3">
      <c r="A582">
        <v>3160</v>
      </c>
      <c r="B582" s="37" t="s">
        <v>3632</v>
      </c>
      <c r="C582" s="38" t="s">
        <v>274</v>
      </c>
      <c r="D582" s="4" t="s">
        <v>599</v>
      </c>
      <c r="E582">
        <v>40310</v>
      </c>
      <c r="F582" t="s">
        <v>223</v>
      </c>
      <c r="G582" s="4" t="s">
        <v>244</v>
      </c>
      <c r="H582" s="4" t="s">
        <v>244</v>
      </c>
      <c r="I582" t="s">
        <v>3035</v>
      </c>
      <c r="J582" s="5">
        <v>42418</v>
      </c>
      <c r="K582" t="s">
        <v>509</v>
      </c>
      <c r="L582" s="4" t="s">
        <v>2610</v>
      </c>
      <c r="M582" s="6"/>
      <c r="N582" s="6" t="s">
        <v>2610</v>
      </c>
      <c r="O582" s="4"/>
      <c r="P582" s="4"/>
      <c r="Q582" s="41"/>
      <c r="R582" s="41"/>
      <c r="S582" s="41"/>
      <c r="T582" s="41"/>
      <c r="U582" s="41"/>
      <c r="V582" s="4"/>
      <c r="AS582"/>
    </row>
    <row r="583" spans="1:45" x14ac:dyDescent="0.3">
      <c r="A583">
        <v>6214</v>
      </c>
      <c r="B583" s="37" t="s">
        <v>3670</v>
      </c>
      <c r="C583" s="38" t="s">
        <v>484</v>
      </c>
      <c r="D583" s="4" t="s">
        <v>599</v>
      </c>
      <c r="E583" t="s">
        <v>191</v>
      </c>
      <c r="F583" t="s">
        <v>226</v>
      </c>
      <c r="G583" s="4" t="s">
        <v>142</v>
      </c>
      <c r="H583" s="4" t="s">
        <v>244</v>
      </c>
      <c r="I583" t="s">
        <v>535</v>
      </c>
      <c r="J583" s="5">
        <v>42471</v>
      </c>
      <c r="K583" t="s">
        <v>509</v>
      </c>
      <c r="L583" s="4" t="s">
        <v>2610</v>
      </c>
      <c r="M583" s="6"/>
      <c r="N583" s="6" t="s">
        <v>2610</v>
      </c>
      <c r="O583" s="4"/>
      <c r="P583" s="4"/>
      <c r="Q583" s="41"/>
      <c r="R583" s="41"/>
      <c r="S583" s="41"/>
      <c r="T583" s="41"/>
      <c r="U583" s="41"/>
      <c r="V583" s="4"/>
      <c r="AS583"/>
    </row>
    <row r="584" spans="1:45" s="10" customFormat="1" x14ac:dyDescent="0.3">
      <c r="A584">
        <v>4014</v>
      </c>
      <c r="B584" s="37" t="s">
        <v>3671</v>
      </c>
      <c r="C584" s="38" t="s">
        <v>2476</v>
      </c>
      <c r="D584" s="4" t="s">
        <v>599</v>
      </c>
      <c r="E584" t="s">
        <v>2477</v>
      </c>
      <c r="F584" t="s">
        <v>215</v>
      </c>
      <c r="G584" s="4" t="s">
        <v>142</v>
      </c>
      <c r="H584" s="4" t="s">
        <v>244</v>
      </c>
      <c r="I584" t="s">
        <v>535</v>
      </c>
      <c r="J584" s="5">
        <v>42472</v>
      </c>
      <c r="K584" t="s">
        <v>509</v>
      </c>
      <c r="L584" s="4" t="s">
        <v>2610</v>
      </c>
      <c r="M584" s="6"/>
      <c r="N584" s="6" t="s">
        <v>2610</v>
      </c>
      <c r="O584" s="4"/>
      <c r="P584" s="4"/>
      <c r="Q584" s="41"/>
      <c r="R584" s="41"/>
      <c r="S584" s="41"/>
      <c r="T584" s="41"/>
      <c r="U584" s="41"/>
      <c r="V584" s="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</row>
    <row r="585" spans="1:45" x14ac:dyDescent="0.3">
      <c r="A585">
        <v>3180</v>
      </c>
      <c r="B585" s="37" t="s">
        <v>3672</v>
      </c>
      <c r="C585" s="38" t="s">
        <v>438</v>
      </c>
      <c r="D585" s="4" t="s">
        <v>599</v>
      </c>
      <c r="E585" t="s">
        <v>138</v>
      </c>
      <c r="F585" t="s">
        <v>225</v>
      </c>
      <c r="G585" s="4" t="s">
        <v>142</v>
      </c>
      <c r="H585" s="4" t="s">
        <v>244</v>
      </c>
      <c r="I585" t="s">
        <v>535</v>
      </c>
      <c r="J585" s="5">
        <v>42445</v>
      </c>
      <c r="K585" t="s">
        <v>3655</v>
      </c>
      <c r="L585" s="4" t="s">
        <v>2610</v>
      </c>
      <c r="M585" s="6"/>
      <c r="N585" s="6" t="s">
        <v>2610</v>
      </c>
      <c r="O585" s="4"/>
      <c r="P585" s="4"/>
      <c r="Q585" s="41"/>
      <c r="R585" s="41"/>
      <c r="S585" s="41"/>
      <c r="T585" s="41"/>
      <c r="U585" s="41"/>
      <c r="V585" s="4"/>
      <c r="AS585"/>
    </row>
    <row r="586" spans="1:45" s="10" customFormat="1" x14ac:dyDescent="0.3">
      <c r="A586">
        <v>6013</v>
      </c>
      <c r="B586" s="37" t="s">
        <v>3686</v>
      </c>
      <c r="C586" s="38" t="s">
        <v>443</v>
      </c>
      <c r="D586" s="4" t="s">
        <v>599</v>
      </c>
      <c r="E586" t="s">
        <v>150</v>
      </c>
      <c r="F586" t="s">
        <v>220</v>
      </c>
      <c r="G586" s="4" t="s">
        <v>142</v>
      </c>
      <c r="H586" s="4" t="s">
        <v>244</v>
      </c>
      <c r="I586" t="s">
        <v>535</v>
      </c>
      <c r="J586" s="5">
        <v>42480</v>
      </c>
      <c r="K586" t="s">
        <v>509</v>
      </c>
      <c r="L586" s="4" t="s">
        <v>2610</v>
      </c>
      <c r="M586" s="6"/>
      <c r="N586" s="6" t="s">
        <v>2610</v>
      </c>
      <c r="O586" s="4"/>
      <c r="P586" s="4"/>
      <c r="Q586" s="41"/>
      <c r="R586" s="41"/>
      <c r="S586" s="41"/>
      <c r="T586" s="41"/>
      <c r="U586" s="41"/>
      <c r="V586" s="4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</row>
    <row r="587" spans="1:45" s="10" customFormat="1" x14ac:dyDescent="0.3">
      <c r="A587">
        <v>4050</v>
      </c>
      <c r="B587" s="37" t="s">
        <v>3702</v>
      </c>
      <c r="C587" s="38" t="s">
        <v>2663</v>
      </c>
      <c r="D587" s="4" t="s">
        <v>599</v>
      </c>
      <c r="E587" s="10">
        <v>41680</v>
      </c>
      <c r="F587" t="s">
        <v>215</v>
      </c>
      <c r="G587" s="4" t="s">
        <v>244</v>
      </c>
      <c r="H587" s="4" t="s">
        <v>244</v>
      </c>
      <c r="I587" t="s">
        <v>535</v>
      </c>
      <c r="J587" s="5">
        <v>42486</v>
      </c>
      <c r="K587" t="s">
        <v>509</v>
      </c>
      <c r="L587" s="4" t="s">
        <v>2610</v>
      </c>
      <c r="M587" s="6"/>
      <c r="N587" s="6" t="s">
        <v>2610</v>
      </c>
      <c r="O587" s="4"/>
      <c r="P587" s="4"/>
      <c r="Q587" s="41"/>
      <c r="R587" s="41"/>
      <c r="S587" s="41"/>
      <c r="T587" s="41"/>
      <c r="U587" s="41"/>
      <c r="V587" s="4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</row>
    <row r="588" spans="1:45" x14ac:dyDescent="0.3">
      <c r="A588">
        <v>1616</v>
      </c>
      <c r="B588" s="37" t="s">
        <v>3703</v>
      </c>
      <c r="C588" s="38" t="s">
        <v>292</v>
      </c>
      <c r="D588" s="4" t="s">
        <v>599</v>
      </c>
      <c r="E588">
        <v>51907</v>
      </c>
      <c r="F588" t="s">
        <v>218</v>
      </c>
      <c r="G588" s="4" t="s">
        <v>244</v>
      </c>
      <c r="H588" s="4" t="s">
        <v>244</v>
      </c>
      <c r="I588" t="s">
        <v>535</v>
      </c>
      <c r="J588" s="5">
        <v>42522</v>
      </c>
      <c r="K588" t="s">
        <v>509</v>
      </c>
      <c r="L588" s="4" t="s">
        <v>2610</v>
      </c>
      <c r="M588" s="6"/>
      <c r="N588" s="6" t="s">
        <v>2610</v>
      </c>
      <c r="O588" s="4"/>
      <c r="P588" s="4"/>
      <c r="Q588" s="41"/>
      <c r="R588" s="41"/>
      <c r="S588" s="41"/>
      <c r="T588" s="41"/>
      <c r="U588" s="41"/>
      <c r="V588" s="4"/>
      <c r="AS588"/>
    </row>
    <row r="589" spans="1:45" s="10" customFormat="1" x14ac:dyDescent="0.3">
      <c r="A589">
        <v>3300</v>
      </c>
      <c r="B589" s="37" t="s">
        <v>3704</v>
      </c>
      <c r="C589" s="38" t="s">
        <v>3295</v>
      </c>
      <c r="D589" s="4" t="s">
        <v>599</v>
      </c>
      <c r="E589">
        <v>30616</v>
      </c>
      <c r="F589" t="s">
        <v>224</v>
      </c>
      <c r="G589" s="4" t="s">
        <v>244</v>
      </c>
      <c r="H589" s="4" t="s">
        <v>244</v>
      </c>
      <c r="I589" t="s">
        <v>535</v>
      </c>
      <c r="J589" s="5">
        <v>42515</v>
      </c>
      <c r="K589" t="s">
        <v>509</v>
      </c>
      <c r="L589" s="4" t="s">
        <v>2610</v>
      </c>
      <c r="M589" s="6"/>
      <c r="N589" s="6" t="s">
        <v>2610</v>
      </c>
      <c r="O589" s="4"/>
      <c r="P589" s="4"/>
      <c r="Q589" s="41"/>
      <c r="R589" s="41"/>
      <c r="S589" s="41"/>
      <c r="T589" s="41"/>
      <c r="U589" s="41"/>
      <c r="V589" s="5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</row>
    <row r="590" spans="1:45" x14ac:dyDescent="0.3">
      <c r="A590">
        <v>4253</v>
      </c>
      <c r="B590" s="37" t="s">
        <v>3705</v>
      </c>
      <c r="C590" s="38" t="s">
        <v>3612</v>
      </c>
      <c r="D590" s="4" t="s">
        <v>599</v>
      </c>
      <c r="E590">
        <v>78025</v>
      </c>
      <c r="F590" t="s">
        <v>225</v>
      </c>
      <c r="G590" s="4" t="s">
        <v>244</v>
      </c>
      <c r="H590" s="4" t="s">
        <v>244</v>
      </c>
      <c r="I590" t="s">
        <v>535</v>
      </c>
      <c r="J590" s="5">
        <v>42542</v>
      </c>
      <c r="K590" t="s">
        <v>509</v>
      </c>
      <c r="L590" s="4" t="s">
        <v>2610</v>
      </c>
      <c r="M590" s="6"/>
      <c r="N590" s="6" t="s">
        <v>2610</v>
      </c>
      <c r="O590" s="4"/>
      <c r="P590" s="4"/>
      <c r="Q590" s="41"/>
      <c r="R590" s="41"/>
      <c r="S590" s="41"/>
      <c r="T590" s="41"/>
      <c r="U590" s="41"/>
      <c r="V590" s="59"/>
      <c r="AS590"/>
    </row>
    <row r="591" spans="1:45" x14ac:dyDescent="0.3">
      <c r="A591">
        <v>3282</v>
      </c>
      <c r="B591" s="37" t="s">
        <v>3719</v>
      </c>
      <c r="C591" s="38" t="s">
        <v>3180</v>
      </c>
      <c r="D591" s="4" t="s">
        <v>599</v>
      </c>
      <c r="E591" t="s">
        <v>3181</v>
      </c>
      <c r="F591" t="s">
        <v>214</v>
      </c>
      <c r="G591" s="4" t="s">
        <v>142</v>
      </c>
      <c r="H591" s="4" t="s">
        <v>244</v>
      </c>
      <c r="I591" t="s">
        <v>535</v>
      </c>
      <c r="J591" s="5">
        <v>42542</v>
      </c>
      <c r="K591" t="s">
        <v>509</v>
      </c>
      <c r="L591" s="4" t="s">
        <v>2610</v>
      </c>
      <c r="M591" s="6"/>
      <c r="N591" s="6" t="s">
        <v>2610</v>
      </c>
      <c r="O591" s="4"/>
      <c r="P591" s="4"/>
      <c r="Q591" s="41"/>
      <c r="R591" s="41"/>
      <c r="S591" s="41"/>
      <c r="T591" s="41"/>
      <c r="U591" s="41"/>
      <c r="V591" s="4"/>
      <c r="AS591"/>
    </row>
    <row r="592" spans="1:45" x14ac:dyDescent="0.3">
      <c r="A592">
        <v>3206</v>
      </c>
      <c r="B592" s="37" t="s">
        <v>3741</v>
      </c>
      <c r="C592" s="38" t="s">
        <v>3228</v>
      </c>
      <c r="D592" s="4" t="s">
        <v>599</v>
      </c>
      <c r="E592" t="s">
        <v>3229</v>
      </c>
      <c r="F592" t="s">
        <v>225</v>
      </c>
      <c r="G592" s="4" t="s">
        <v>142</v>
      </c>
      <c r="H592" s="4" t="s">
        <v>244</v>
      </c>
      <c r="I592" t="s">
        <v>535</v>
      </c>
      <c r="J592" s="5">
        <v>42545</v>
      </c>
      <c r="K592" t="s">
        <v>509</v>
      </c>
      <c r="L592" s="4" t="s">
        <v>2610</v>
      </c>
      <c r="M592" s="6"/>
      <c r="N592" s="6" t="s">
        <v>2610</v>
      </c>
      <c r="O592" s="4"/>
      <c r="P592" s="4"/>
      <c r="Q592" s="41"/>
      <c r="R592" s="41"/>
      <c r="S592" s="41"/>
      <c r="T592" s="41"/>
      <c r="U592" s="41"/>
      <c r="V592" s="4"/>
      <c r="AS592"/>
    </row>
    <row r="593" spans="1:45" s="10" customFormat="1" x14ac:dyDescent="0.3">
      <c r="A593">
        <v>1987</v>
      </c>
      <c r="B593" s="37" t="str">
        <f>VLOOKUP(A593,'Monthly EE List'!A:D,4,0)&amp;" "&amp;VLOOKUP(A593,'Monthly EE List'!A:D,3,0)</f>
        <v>ANTHONY ARCHER</v>
      </c>
      <c r="C593" s="38" t="s">
        <v>2710</v>
      </c>
      <c r="D593" s="4" t="s">
        <v>599</v>
      </c>
      <c r="E593" t="s">
        <v>2850</v>
      </c>
      <c r="F593" t="s">
        <v>215</v>
      </c>
      <c r="G593" s="4" t="s">
        <v>3024</v>
      </c>
      <c r="H593" s="4" t="s">
        <v>244</v>
      </c>
      <c r="I593" t="s">
        <v>535</v>
      </c>
      <c r="J593" s="5">
        <v>41191</v>
      </c>
      <c r="K593" t="s">
        <v>3030</v>
      </c>
      <c r="L593" s="4" t="str">
        <f ca="1">IF(OFFSET(N593,,$C$4)="X","X","")</f>
        <v/>
      </c>
      <c r="M593" s="6"/>
      <c r="N593" s="6"/>
      <c r="O593" s="4"/>
      <c r="P593" s="4"/>
      <c r="Q593" s="41"/>
      <c r="R593" s="41"/>
      <c r="S593" s="41"/>
      <c r="T593" s="41"/>
      <c r="U593" s="4"/>
      <c r="V593" s="4"/>
      <c r="W593" s="4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</row>
    <row r="594" spans="1:45" x14ac:dyDescent="0.3">
      <c r="A594">
        <v>6158</v>
      </c>
      <c r="B594" s="37" t="s">
        <v>3790</v>
      </c>
      <c r="C594" s="38" t="s">
        <v>477</v>
      </c>
      <c r="D594" s="4" t="s">
        <v>599</v>
      </c>
      <c r="E594" t="s">
        <v>184</v>
      </c>
      <c r="F594" t="s">
        <v>225</v>
      </c>
      <c r="G594" s="4" t="s">
        <v>3008</v>
      </c>
      <c r="H594" s="4" t="s">
        <v>244</v>
      </c>
      <c r="I594" t="s">
        <v>535</v>
      </c>
      <c r="J594" s="5">
        <v>42697</v>
      </c>
      <c r="K594" t="s">
        <v>3791</v>
      </c>
      <c r="L594" s="4" t="s">
        <v>2610</v>
      </c>
      <c r="M594" s="6"/>
      <c r="N594" s="6"/>
      <c r="O594" s="4"/>
      <c r="P594" s="4"/>
      <c r="Q594" s="41"/>
      <c r="R594" s="41"/>
      <c r="S594" s="41"/>
      <c r="T594" s="41"/>
      <c r="U594" s="4"/>
      <c r="V594" s="4"/>
      <c r="AS594"/>
    </row>
    <row r="595" spans="1:45" s="10" customFormat="1" x14ac:dyDescent="0.3">
      <c r="A595">
        <v>3349</v>
      </c>
      <c r="B595" s="37" t="s">
        <v>3816</v>
      </c>
      <c r="C595" s="38" t="s">
        <v>3776</v>
      </c>
      <c r="D595" s="4" t="s">
        <v>599</v>
      </c>
      <c r="E595">
        <v>78026</v>
      </c>
      <c r="F595" t="s">
        <v>225</v>
      </c>
      <c r="G595" s="4" t="s">
        <v>244</v>
      </c>
      <c r="H595" s="4" t="s">
        <v>244</v>
      </c>
      <c r="I595" t="s">
        <v>535</v>
      </c>
      <c r="J595" s="5">
        <v>42698</v>
      </c>
      <c r="K595" t="s">
        <v>509</v>
      </c>
      <c r="L595" s="4" t="s">
        <v>2610</v>
      </c>
      <c r="M595" s="6"/>
      <c r="N595" s="6" t="s">
        <v>2610</v>
      </c>
      <c r="O595" s="4"/>
      <c r="P595" s="4"/>
      <c r="Q595" s="41"/>
      <c r="R595" s="41"/>
      <c r="S595" s="41"/>
      <c r="T595" s="41"/>
      <c r="U595" s="41"/>
      <c r="V595" s="4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</row>
    <row r="596" spans="1:45" x14ac:dyDescent="0.3">
      <c r="A596">
        <v>435</v>
      </c>
      <c r="B596" s="37" t="s">
        <v>3824</v>
      </c>
      <c r="C596" s="38" t="s">
        <v>350</v>
      </c>
      <c r="D596" s="4" t="s">
        <v>599</v>
      </c>
      <c r="E596" t="s">
        <v>44</v>
      </c>
      <c r="F596" t="s">
        <v>218</v>
      </c>
      <c r="G596" s="4" t="s">
        <v>3007</v>
      </c>
      <c r="H596" s="4" t="s">
        <v>244</v>
      </c>
      <c r="I596" t="s">
        <v>535</v>
      </c>
      <c r="J596" s="5">
        <v>42741</v>
      </c>
      <c r="K596" t="s">
        <v>509</v>
      </c>
      <c r="L596" s="4" t="s">
        <v>2610</v>
      </c>
      <c r="M596" s="6"/>
      <c r="N596" s="6" t="s">
        <v>2610</v>
      </c>
      <c r="O596" s="4"/>
      <c r="P596" s="4"/>
      <c r="Q596" s="41"/>
      <c r="R596" s="41"/>
      <c r="S596" s="41"/>
      <c r="T596" s="41"/>
      <c r="U596" s="41"/>
      <c r="V596" s="4"/>
      <c r="AS596"/>
    </row>
    <row r="597" spans="1:45" x14ac:dyDescent="0.3">
      <c r="A597">
        <v>435</v>
      </c>
      <c r="B597" s="37" t="s">
        <v>3824</v>
      </c>
      <c r="C597" s="38" t="s">
        <v>350</v>
      </c>
      <c r="D597" s="4" t="s">
        <v>599</v>
      </c>
      <c r="E597" t="s">
        <v>218</v>
      </c>
      <c r="F597" t="s">
        <v>218</v>
      </c>
      <c r="G597" s="4" t="s">
        <v>3007</v>
      </c>
      <c r="H597" s="4" t="s">
        <v>244</v>
      </c>
      <c r="I597" t="s">
        <v>535</v>
      </c>
      <c r="J597" s="5">
        <v>42741</v>
      </c>
      <c r="K597" t="s">
        <v>509</v>
      </c>
      <c r="L597" s="4" t="s">
        <v>2610</v>
      </c>
      <c r="M597" s="6"/>
      <c r="N597" s="6" t="s">
        <v>2610</v>
      </c>
      <c r="O597" s="4"/>
      <c r="P597" s="4"/>
      <c r="Q597" s="41"/>
      <c r="R597" s="41"/>
      <c r="S597" s="41"/>
      <c r="T597" s="41"/>
      <c r="U597" s="59"/>
      <c r="V597" s="59"/>
      <c r="W597" s="4"/>
      <c r="AS597"/>
    </row>
    <row r="598" spans="1:45" s="10" customFormat="1" x14ac:dyDescent="0.3">
      <c r="A598">
        <v>4137</v>
      </c>
      <c r="B598" s="37" t="s">
        <v>3825</v>
      </c>
      <c r="C598" s="38" t="s">
        <v>3112</v>
      </c>
      <c r="D598" s="4" t="s">
        <v>599</v>
      </c>
      <c r="E598" t="s">
        <v>46</v>
      </c>
      <c r="F598" t="s">
        <v>217</v>
      </c>
      <c r="G598" s="4" t="s">
        <v>142</v>
      </c>
      <c r="H598" s="4" t="s">
        <v>244</v>
      </c>
      <c r="I598" t="s">
        <v>535</v>
      </c>
      <c r="J598" s="5">
        <v>42751</v>
      </c>
      <c r="K598" t="s">
        <v>3030</v>
      </c>
      <c r="L598" s="4" t="s">
        <v>2610</v>
      </c>
      <c r="M598" s="6"/>
      <c r="N598" s="6" t="s">
        <v>2610</v>
      </c>
      <c r="O598" s="4"/>
      <c r="P598" s="4"/>
      <c r="Q598" s="41"/>
      <c r="R598" s="41"/>
      <c r="S598" s="41"/>
      <c r="T598" s="41"/>
      <c r="U598" s="41"/>
      <c r="V598" s="4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</row>
    <row r="599" spans="1:45" x14ac:dyDescent="0.3">
      <c r="A599">
        <v>6293</v>
      </c>
      <c r="B599" s="37" t="s">
        <v>3826</v>
      </c>
      <c r="C599" s="38" t="s">
        <v>499</v>
      </c>
      <c r="D599" s="4" t="s">
        <v>599</v>
      </c>
      <c r="E599" t="s">
        <v>208</v>
      </c>
      <c r="F599" t="s">
        <v>215</v>
      </c>
      <c r="G599" s="4" t="s">
        <v>142</v>
      </c>
      <c r="H599" s="4" t="s">
        <v>244</v>
      </c>
      <c r="I599" t="s">
        <v>535</v>
      </c>
      <c r="J599" s="5">
        <v>42769</v>
      </c>
      <c r="K599" t="s">
        <v>509</v>
      </c>
      <c r="L599" s="4" t="s">
        <v>2610</v>
      </c>
      <c r="M599" s="6"/>
      <c r="N599" s="6" t="s">
        <v>2610</v>
      </c>
      <c r="O599" s="4"/>
      <c r="P599" s="4"/>
      <c r="Q599" s="41"/>
      <c r="R599" s="41"/>
      <c r="S599" s="41"/>
      <c r="T599" s="41"/>
      <c r="U599" s="41"/>
      <c r="V599" s="4"/>
      <c r="AS599"/>
    </row>
    <row r="600" spans="1:45" s="10" customFormat="1" x14ac:dyDescent="0.3">
      <c r="A600">
        <v>3327</v>
      </c>
      <c r="B600" s="37" t="s">
        <v>3848</v>
      </c>
      <c r="C600" s="38" t="s">
        <v>3527</v>
      </c>
      <c r="D600" s="4" t="s">
        <v>599</v>
      </c>
      <c r="E600">
        <v>25012</v>
      </c>
      <c r="F600" t="s">
        <v>226</v>
      </c>
      <c r="G600" s="4" t="s">
        <v>244</v>
      </c>
      <c r="H600" s="4" t="s">
        <v>244</v>
      </c>
      <c r="I600" t="s">
        <v>535</v>
      </c>
      <c r="J600" s="5">
        <v>42691</v>
      </c>
      <c r="K600" t="s">
        <v>509</v>
      </c>
      <c r="L600" s="4" t="s">
        <v>2610</v>
      </c>
      <c r="M600" s="6"/>
      <c r="N600" s="6" t="s">
        <v>2610</v>
      </c>
      <c r="O600" s="4"/>
      <c r="P600" s="4"/>
      <c r="Q600" s="41"/>
      <c r="R600" s="41"/>
      <c r="S600" s="41"/>
      <c r="T600" s="41"/>
      <c r="U600" s="41"/>
      <c r="V600" s="59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</row>
    <row r="601" spans="1:45" x14ac:dyDescent="0.3">
      <c r="A601">
        <v>6274</v>
      </c>
      <c r="B601" s="37" t="s">
        <v>3849</v>
      </c>
      <c r="C601" s="38" t="s">
        <v>490</v>
      </c>
      <c r="D601" s="4" t="s">
        <v>599</v>
      </c>
      <c r="E601" t="s">
        <v>197</v>
      </c>
      <c r="F601" t="s">
        <v>215</v>
      </c>
      <c r="G601" s="4" t="s">
        <v>142</v>
      </c>
      <c r="H601" s="4" t="s">
        <v>244</v>
      </c>
      <c r="I601" t="s">
        <v>535</v>
      </c>
      <c r="J601" s="5">
        <v>42738</v>
      </c>
      <c r="K601" t="s">
        <v>509</v>
      </c>
      <c r="L601" s="4" t="s">
        <v>2610</v>
      </c>
      <c r="M601" s="6"/>
      <c r="N601" s="6" t="s">
        <v>2610</v>
      </c>
      <c r="O601" s="4"/>
      <c r="P601" s="4"/>
      <c r="Q601" s="41"/>
      <c r="R601" s="41"/>
      <c r="S601" s="41"/>
      <c r="T601" s="41"/>
      <c r="U601" s="41"/>
      <c r="V601" s="59"/>
      <c r="AS601"/>
    </row>
    <row r="602" spans="1:45" x14ac:dyDescent="0.3">
      <c r="A602">
        <v>6258</v>
      </c>
      <c r="B602" s="37" t="s">
        <v>3852</v>
      </c>
      <c r="C602" s="38" t="s">
        <v>307</v>
      </c>
      <c r="D602" s="4" t="s">
        <v>599</v>
      </c>
      <c r="E602">
        <v>41636</v>
      </c>
      <c r="F602" t="s">
        <v>215</v>
      </c>
      <c r="G602" s="4" t="s">
        <v>244</v>
      </c>
      <c r="H602" s="4" t="s">
        <v>244</v>
      </c>
      <c r="I602" t="s">
        <v>535</v>
      </c>
      <c r="J602" s="5">
        <v>42738</v>
      </c>
      <c r="K602" t="s">
        <v>509</v>
      </c>
      <c r="L602" s="4" t="s">
        <v>2610</v>
      </c>
      <c r="M602" s="6"/>
      <c r="N602" s="6" t="s">
        <v>2610</v>
      </c>
      <c r="O602" s="4"/>
      <c r="P602" s="4"/>
      <c r="Q602" s="41"/>
      <c r="R602" s="41"/>
      <c r="S602" s="41"/>
      <c r="T602" s="41"/>
      <c r="U602" s="41"/>
      <c r="V602" s="4"/>
      <c r="AS602"/>
    </row>
    <row r="603" spans="1:45" s="10" customFormat="1" x14ac:dyDescent="0.3">
      <c r="A603">
        <v>4120</v>
      </c>
      <c r="B603" s="46" t="s">
        <v>3865</v>
      </c>
      <c r="C603" s="38" t="s">
        <v>2984</v>
      </c>
      <c r="D603" s="4" t="s">
        <v>599</v>
      </c>
      <c r="E603" s="10">
        <v>51456</v>
      </c>
      <c r="F603" t="s">
        <v>217</v>
      </c>
      <c r="G603" s="4" t="s">
        <v>244</v>
      </c>
      <c r="H603" s="4" t="s">
        <v>244</v>
      </c>
      <c r="I603" t="s">
        <v>535</v>
      </c>
      <c r="J603" s="5">
        <v>42818</v>
      </c>
      <c r="K603" t="s">
        <v>509</v>
      </c>
      <c r="L603" s="4" t="s">
        <v>2610</v>
      </c>
      <c r="M603" s="6"/>
      <c r="N603" s="6" t="s">
        <v>2610</v>
      </c>
      <c r="O603" s="4"/>
      <c r="P603" s="4"/>
      <c r="Q603" s="41"/>
      <c r="R603" s="41"/>
      <c r="S603" s="41"/>
      <c r="T603" s="41"/>
      <c r="U603" s="41"/>
      <c r="V603" s="4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</row>
  </sheetData>
  <autoFilter ref="A9:AS429"/>
  <sortState ref="A392:AS393">
    <sortCondition descending="1" ref="E392:E393"/>
  </sortState>
  <conditionalFormatting sqref="D455:D464 D466:D477 D479:D481 D483:D490 D492:D494 D497 D256 D499:D505 D525 D316:D318 D507:D509 D200:D203 D429:D430 D527:D537 D544:D547 D250 D286:D287 D252 D118 D121:D124 D551:D558 D126:D149 D560:D563 D565:D569 D571 D205:D206 D573 D275 D283 D196:D197 D577:D578 D22:D39 D111:D116 D580:D582 D239:D248 D166:D179 D585:D586 D588:D589 D208:D223 D183 D591:D592 D151:D162 D41:D109 D10:D20 D289:D301 D596:D598 D404:D405 D601 D225:D237 D164 D189:D194">
    <cfRule type="cellIs" dxfId="395" priority="712" operator="equal">
      <formula>"N"</formula>
    </cfRule>
  </conditionalFormatting>
  <conditionalFormatting sqref="H251:H252 H26:H27 H256 H525 H316:H318 H507:H509 H530 H533 H200:H203 H535 H22:H24 H286:H287 H118 H551:H552 H554 H178:H179 H121:H149 H275 H283 H196:H197 H29:H39 H111:H116 H239:H248 H166:H176 H70:H109 H230:H237 H208:H223 H183 H151:H162 H41:H68 H10:H20 H289:H300 H225:H228 H164 H189:H194">
    <cfRule type="cellIs" dxfId="394" priority="705" operator="notEqual">
      <formula>"A"</formula>
    </cfRule>
  </conditionalFormatting>
  <conditionalFormatting sqref="D229">
    <cfRule type="cellIs" dxfId="393" priority="703" operator="equal">
      <formula>"N"</formula>
    </cfRule>
  </conditionalFormatting>
  <conditionalFormatting sqref="H229">
    <cfRule type="cellIs" dxfId="392" priority="702" operator="notEqual">
      <formula>"A"</formula>
    </cfRule>
  </conditionalFormatting>
  <conditionalFormatting sqref="D483">
    <cfRule type="cellIs" dxfId="391" priority="701" operator="equal">
      <formula>"N"</formula>
    </cfRule>
  </conditionalFormatting>
  <conditionalFormatting sqref="D97">
    <cfRule type="cellIs" dxfId="390" priority="697" operator="equal">
      <formula>"N"</formula>
    </cfRule>
  </conditionalFormatting>
  <conditionalFormatting sqref="D69">
    <cfRule type="cellIs" dxfId="389" priority="696" operator="equal">
      <formula>"N"</formula>
    </cfRule>
  </conditionalFormatting>
  <conditionalFormatting sqref="H69">
    <cfRule type="cellIs" dxfId="388" priority="695" operator="notEqual">
      <formula>"A"</formula>
    </cfRule>
  </conditionalFormatting>
  <conditionalFormatting sqref="D25">
    <cfRule type="cellIs" dxfId="387" priority="690" operator="equal">
      <formula>"N"</formula>
    </cfRule>
  </conditionalFormatting>
  <conditionalFormatting sqref="H25">
    <cfRule type="cellIs" dxfId="386" priority="689" operator="notEqual">
      <formula>"A"</formula>
    </cfRule>
  </conditionalFormatting>
  <conditionalFormatting sqref="D502">
    <cfRule type="cellIs" dxfId="385" priority="686" operator="equal">
      <formula>"N"</formula>
    </cfRule>
  </conditionalFormatting>
  <conditionalFormatting sqref="D205">
    <cfRule type="cellIs" dxfId="384" priority="684" operator="equal">
      <formula>"N"</formula>
    </cfRule>
  </conditionalFormatting>
  <conditionalFormatting sqref="H205">
    <cfRule type="cellIs" dxfId="383" priority="683" operator="notEqual">
      <formula>"A"</formula>
    </cfRule>
  </conditionalFormatting>
  <conditionalFormatting sqref="D206">
    <cfRule type="cellIs" dxfId="382" priority="682" operator="equal">
      <formula>"N"</formula>
    </cfRule>
  </conditionalFormatting>
  <conditionalFormatting sqref="H206">
    <cfRule type="cellIs" dxfId="381" priority="681" operator="notEqual">
      <formula>"A"</formula>
    </cfRule>
  </conditionalFormatting>
  <conditionalFormatting sqref="D465">
    <cfRule type="cellIs" dxfId="380" priority="677" operator="equal">
      <formula>"N"</formula>
    </cfRule>
  </conditionalFormatting>
  <conditionalFormatting sqref="D28">
    <cfRule type="cellIs" dxfId="379" priority="675" operator="equal">
      <formula>"N"</formula>
    </cfRule>
  </conditionalFormatting>
  <conditionalFormatting sqref="H28">
    <cfRule type="cellIs" dxfId="378" priority="674" operator="notEqual">
      <formula>"A"</formula>
    </cfRule>
  </conditionalFormatting>
  <conditionalFormatting sqref="D501">
    <cfRule type="cellIs" dxfId="377" priority="673" operator="equal">
      <formula>"N"</formula>
    </cfRule>
  </conditionalFormatting>
  <conditionalFormatting sqref="D177">
    <cfRule type="cellIs" dxfId="376" priority="671" operator="equal">
      <formula>"N"</formula>
    </cfRule>
  </conditionalFormatting>
  <conditionalFormatting sqref="H177">
    <cfRule type="cellIs" dxfId="375" priority="670" operator="notEqual">
      <formula>"A"</formula>
    </cfRule>
  </conditionalFormatting>
  <conditionalFormatting sqref="D250">
    <cfRule type="cellIs" dxfId="374" priority="669" operator="equal">
      <formula>"N"</formula>
    </cfRule>
  </conditionalFormatting>
  <conditionalFormatting sqref="H250">
    <cfRule type="cellIs" dxfId="373" priority="668" operator="notEqual">
      <formula>"A"</formula>
    </cfRule>
  </conditionalFormatting>
  <conditionalFormatting sqref="D254">
    <cfRule type="cellIs" dxfId="372" priority="665" operator="equal">
      <formula>"N"</formula>
    </cfRule>
  </conditionalFormatting>
  <conditionalFormatting sqref="H254">
    <cfRule type="cellIs" dxfId="371" priority="664" operator="notEqual">
      <formula>"A"</formula>
    </cfRule>
  </conditionalFormatting>
  <conditionalFormatting sqref="D587">
    <cfRule type="cellIs" dxfId="370" priority="663" operator="equal">
      <formula>"N"</formula>
    </cfRule>
  </conditionalFormatting>
  <conditionalFormatting sqref="D255">
    <cfRule type="cellIs" dxfId="369" priority="661" operator="equal">
      <formula>"N"</formula>
    </cfRule>
  </conditionalFormatting>
  <conditionalFormatting sqref="H255">
    <cfRule type="cellIs" dxfId="368" priority="660" operator="notEqual">
      <formula>"A"</formula>
    </cfRule>
  </conditionalFormatting>
  <conditionalFormatting sqref="D482">
    <cfRule type="cellIs" dxfId="367" priority="659" operator="equal">
      <formula>"N"</formula>
    </cfRule>
  </conditionalFormatting>
  <conditionalFormatting sqref="D595">
    <cfRule type="cellIs" dxfId="366" priority="657" operator="equal">
      <formula>"N"</formula>
    </cfRule>
  </conditionalFormatting>
  <conditionalFormatting sqref="D496">
    <cfRule type="cellIs" dxfId="365" priority="655" operator="equal">
      <formula>"N"</formula>
    </cfRule>
  </conditionalFormatting>
  <conditionalFormatting sqref="D570">
    <cfRule type="cellIs" dxfId="364" priority="653" operator="equal">
      <formula>"N"</formula>
    </cfRule>
  </conditionalFormatting>
  <conditionalFormatting sqref="D257">
    <cfRule type="cellIs" dxfId="363" priority="651" operator="equal">
      <formula>"N"</formula>
    </cfRule>
  </conditionalFormatting>
  <conditionalFormatting sqref="H257">
    <cfRule type="cellIs" dxfId="362" priority="650" operator="notEqual">
      <formula>"A"</formula>
    </cfRule>
  </conditionalFormatting>
  <conditionalFormatting sqref="D258">
    <cfRule type="cellIs" dxfId="361" priority="649" operator="equal">
      <formula>"N"</formula>
    </cfRule>
  </conditionalFormatting>
  <conditionalFormatting sqref="H258">
    <cfRule type="cellIs" dxfId="360" priority="648" operator="notEqual">
      <formula>"A"</formula>
    </cfRule>
  </conditionalFormatting>
  <conditionalFormatting sqref="D259">
    <cfRule type="cellIs" dxfId="359" priority="647" operator="equal">
      <formula>"N"</formula>
    </cfRule>
  </conditionalFormatting>
  <conditionalFormatting sqref="H259">
    <cfRule type="cellIs" dxfId="358" priority="646" operator="notEqual">
      <formula>"A"</formula>
    </cfRule>
  </conditionalFormatting>
  <conditionalFormatting sqref="D260">
    <cfRule type="cellIs" dxfId="357" priority="645" operator="equal">
      <formula>"N"</formula>
    </cfRule>
  </conditionalFormatting>
  <conditionalFormatting sqref="H260">
    <cfRule type="cellIs" dxfId="356" priority="644" operator="notEqual">
      <formula>"A"</formula>
    </cfRule>
  </conditionalFormatting>
  <conditionalFormatting sqref="D261">
    <cfRule type="cellIs" dxfId="355" priority="641" operator="equal">
      <formula>"N"</formula>
    </cfRule>
  </conditionalFormatting>
  <conditionalFormatting sqref="H261">
    <cfRule type="cellIs" dxfId="354" priority="640" operator="notEqual">
      <formula>"A"</formula>
    </cfRule>
  </conditionalFormatting>
  <conditionalFormatting sqref="H262">
    <cfRule type="cellIs" dxfId="353" priority="638" operator="notEqual">
      <formula>"A"</formula>
    </cfRule>
  </conditionalFormatting>
  <conditionalFormatting sqref="D263">
    <cfRule type="cellIs" dxfId="352" priority="637" operator="equal">
      <formula>"N"</formula>
    </cfRule>
  </conditionalFormatting>
  <conditionalFormatting sqref="H263">
    <cfRule type="cellIs" dxfId="351" priority="636" operator="notEqual">
      <formula>"A"</formula>
    </cfRule>
  </conditionalFormatting>
  <conditionalFormatting sqref="H301">
    <cfRule type="cellIs" dxfId="350" priority="634" operator="notEqual">
      <formula>"A"</formula>
    </cfRule>
  </conditionalFormatting>
  <conditionalFormatting sqref="D262">
    <cfRule type="cellIs" dxfId="349" priority="633" operator="equal">
      <formula>"N"</formula>
    </cfRule>
  </conditionalFormatting>
  <conditionalFormatting sqref="D564">
    <cfRule type="cellIs" dxfId="348" priority="632" operator="equal">
      <formula>"N"</formula>
    </cfRule>
  </conditionalFormatting>
  <conditionalFormatting sqref="D264">
    <cfRule type="cellIs" dxfId="347" priority="631" operator="equal">
      <formula>"N"</formula>
    </cfRule>
  </conditionalFormatting>
  <conditionalFormatting sqref="H264">
    <cfRule type="cellIs" dxfId="346" priority="630" operator="notEqual">
      <formula>"A"</formula>
    </cfRule>
  </conditionalFormatting>
  <conditionalFormatting sqref="D265">
    <cfRule type="cellIs" dxfId="345" priority="629" operator="equal">
      <formula>"N"</formula>
    </cfRule>
  </conditionalFormatting>
  <conditionalFormatting sqref="H265">
    <cfRule type="cellIs" dxfId="344" priority="628" operator="notEqual">
      <formula>"A"</formula>
    </cfRule>
  </conditionalFormatting>
  <conditionalFormatting sqref="D266">
    <cfRule type="cellIs" dxfId="343" priority="627" operator="equal">
      <formula>"N"</formula>
    </cfRule>
  </conditionalFormatting>
  <conditionalFormatting sqref="H266">
    <cfRule type="cellIs" dxfId="342" priority="626" operator="notEqual">
      <formula>"A"</formula>
    </cfRule>
  </conditionalFormatting>
  <conditionalFormatting sqref="D268">
    <cfRule type="cellIs" dxfId="341" priority="625" operator="equal">
      <formula>"N"</formula>
    </cfRule>
  </conditionalFormatting>
  <conditionalFormatting sqref="H268:H271 H273:H274">
    <cfRule type="cellIs" dxfId="340" priority="624" operator="notEqual">
      <formula>"A"</formula>
    </cfRule>
  </conditionalFormatting>
  <conditionalFormatting sqref="D269:D271 D273:D274">
    <cfRule type="cellIs" dxfId="339" priority="623" operator="equal">
      <formula>"N"</formula>
    </cfRule>
  </conditionalFormatting>
  <conditionalFormatting sqref="D506">
    <cfRule type="cellIs" dxfId="338" priority="621" operator="equal">
      <formula>"N"</formula>
    </cfRule>
  </conditionalFormatting>
  <conditionalFormatting sqref="D574">
    <cfRule type="cellIs" dxfId="337" priority="619" operator="equal">
      <formula>"N"</formula>
    </cfRule>
  </conditionalFormatting>
  <conditionalFormatting sqref="D117">
    <cfRule type="cellIs" dxfId="336" priority="618" operator="equal">
      <formula>"N"</formula>
    </cfRule>
  </conditionalFormatting>
  <conditionalFormatting sqref="H117">
    <cfRule type="cellIs" dxfId="335" priority="617" operator="notEqual">
      <formula>"A"</formula>
    </cfRule>
  </conditionalFormatting>
  <conditionalFormatting sqref="H304">
    <cfRule type="cellIs" dxfId="334" priority="615" operator="notEqual">
      <formula>"A"</formula>
    </cfRule>
  </conditionalFormatting>
  <conditionalFormatting sqref="D491">
    <cfRule type="cellIs" dxfId="333" priority="612" operator="equal">
      <formula>"N"</formula>
    </cfRule>
  </conditionalFormatting>
  <conditionalFormatting sqref="D304">
    <cfRule type="cellIs" dxfId="332" priority="611" operator="equal">
      <formula>"N"</formula>
    </cfRule>
  </conditionalFormatting>
  <conditionalFormatting sqref="H306">
    <cfRule type="cellIs" dxfId="331" priority="610" operator="notEqual">
      <formula>"A"</formula>
    </cfRule>
  </conditionalFormatting>
  <conditionalFormatting sqref="D306">
    <cfRule type="cellIs" dxfId="330" priority="609" operator="equal">
      <formula>"N"</formula>
    </cfRule>
  </conditionalFormatting>
  <conditionalFormatting sqref="H307">
    <cfRule type="cellIs" dxfId="329" priority="608" operator="notEqual">
      <formula>"A"</formula>
    </cfRule>
  </conditionalFormatting>
  <conditionalFormatting sqref="D307">
    <cfRule type="cellIs" dxfId="328" priority="607" operator="equal">
      <formula>"N"</formula>
    </cfRule>
  </conditionalFormatting>
  <conditionalFormatting sqref="H308">
    <cfRule type="cellIs" dxfId="327" priority="606" operator="notEqual">
      <formula>"A"</formula>
    </cfRule>
  </conditionalFormatting>
  <conditionalFormatting sqref="H312">
    <cfRule type="cellIs" dxfId="326" priority="604" operator="notEqual">
      <formula>"A"</formula>
    </cfRule>
  </conditionalFormatting>
  <conditionalFormatting sqref="D308">
    <cfRule type="cellIs" dxfId="325" priority="602" operator="equal">
      <formula>"N"</formula>
    </cfRule>
  </conditionalFormatting>
  <conditionalFormatting sqref="H305">
    <cfRule type="cellIs" dxfId="324" priority="600" operator="notEqual">
      <formula>"A"</formula>
    </cfRule>
  </conditionalFormatting>
  <conditionalFormatting sqref="D305">
    <cfRule type="cellIs" dxfId="323" priority="599" operator="equal">
      <formula>"N"</formula>
    </cfRule>
  </conditionalFormatting>
  <conditionalFormatting sqref="H526">
    <cfRule type="cellIs" dxfId="322" priority="598" operator="notEqual">
      <formula>"A"</formula>
    </cfRule>
  </conditionalFormatting>
  <conditionalFormatting sqref="D526">
    <cfRule type="cellIs" dxfId="321" priority="597" operator="equal">
      <formula>"N"</formula>
    </cfRule>
  </conditionalFormatting>
  <conditionalFormatting sqref="H309">
    <cfRule type="cellIs" dxfId="320" priority="596" operator="notEqual">
      <formula>"A"</formula>
    </cfRule>
  </conditionalFormatting>
  <conditionalFormatting sqref="D309">
    <cfRule type="cellIs" dxfId="319" priority="595" operator="equal">
      <formula>"N"</formula>
    </cfRule>
  </conditionalFormatting>
  <conditionalFormatting sqref="H310:H311">
    <cfRule type="cellIs" dxfId="318" priority="594" operator="notEqual">
      <formula>"A"</formula>
    </cfRule>
  </conditionalFormatting>
  <conditionalFormatting sqref="D311">
    <cfRule type="cellIs" dxfId="317" priority="590" operator="equal">
      <formula>"N"</formula>
    </cfRule>
  </conditionalFormatting>
  <conditionalFormatting sqref="D495">
    <cfRule type="cellIs" dxfId="316" priority="589" operator="equal">
      <formula>"N"</formula>
    </cfRule>
  </conditionalFormatting>
  <conditionalFormatting sqref="D310">
    <cfRule type="cellIs" dxfId="315" priority="588" operator="equal">
      <formula>"N"</formula>
    </cfRule>
  </conditionalFormatting>
  <conditionalFormatting sqref="H284:H285">
    <cfRule type="cellIs" dxfId="314" priority="585" operator="notEqual">
      <formula>"A"</formula>
    </cfRule>
  </conditionalFormatting>
  <conditionalFormatting sqref="D284:D285">
    <cfRule type="cellIs" dxfId="313" priority="584" operator="equal">
      <formula>"N"</formula>
    </cfRule>
  </conditionalFormatting>
  <conditionalFormatting sqref="H302:H303">
    <cfRule type="cellIs" dxfId="312" priority="583" operator="notEqual">
      <formula>"A"</formula>
    </cfRule>
  </conditionalFormatting>
  <conditionalFormatting sqref="D302:D303">
    <cfRule type="cellIs" dxfId="311" priority="582" operator="equal">
      <formula>"N"</formula>
    </cfRule>
  </conditionalFormatting>
  <conditionalFormatting sqref="D312">
    <cfRule type="cellIs" dxfId="310" priority="581" operator="equal">
      <formula>"N"</formula>
    </cfRule>
  </conditionalFormatting>
  <conditionalFormatting sqref="H511">
    <cfRule type="cellIs" dxfId="309" priority="580" operator="notEqual">
      <formula>"A"</formula>
    </cfRule>
  </conditionalFormatting>
  <conditionalFormatting sqref="H315">
    <cfRule type="cellIs" dxfId="308" priority="578" operator="notEqual">
      <formula>"A"</formula>
    </cfRule>
  </conditionalFormatting>
  <conditionalFormatting sqref="D315">
    <cfRule type="cellIs" dxfId="307" priority="577" operator="equal">
      <formula>"N"</formula>
    </cfRule>
  </conditionalFormatting>
  <conditionalFormatting sqref="D511">
    <cfRule type="cellIs" dxfId="306" priority="576" operator="equal">
      <formula>"N"</formula>
    </cfRule>
  </conditionalFormatting>
  <conditionalFormatting sqref="D110">
    <cfRule type="cellIs" dxfId="305" priority="575" operator="equal">
      <formula>"N"</formula>
    </cfRule>
  </conditionalFormatting>
  <conditionalFormatting sqref="H110">
    <cfRule type="cellIs" dxfId="304" priority="574" operator="notEqual">
      <formula>"A"</formula>
    </cfRule>
  </conditionalFormatting>
  <conditionalFormatting sqref="H313">
    <cfRule type="cellIs" dxfId="303" priority="573" operator="notEqual">
      <formula>"A"</formula>
    </cfRule>
  </conditionalFormatting>
  <conditionalFormatting sqref="D313">
    <cfRule type="cellIs" dxfId="302" priority="572" operator="equal">
      <formula>"N"</formula>
    </cfRule>
  </conditionalFormatting>
  <conditionalFormatting sqref="H314">
    <cfRule type="cellIs" dxfId="301" priority="571" operator="notEqual">
      <formula>"A"</formula>
    </cfRule>
  </conditionalFormatting>
  <conditionalFormatting sqref="D314">
    <cfRule type="cellIs" dxfId="300" priority="570" operator="equal">
      <formula>"N"</formula>
    </cfRule>
  </conditionalFormatting>
  <conditionalFormatting sqref="H510">
    <cfRule type="cellIs" dxfId="299" priority="567" operator="notEqual">
      <formula>"A"</formula>
    </cfRule>
  </conditionalFormatting>
  <conditionalFormatting sqref="D510">
    <cfRule type="cellIs" dxfId="298" priority="566" operator="equal">
      <formula>"N"</formula>
    </cfRule>
  </conditionalFormatting>
  <conditionalFormatting sqref="H512">
    <cfRule type="cellIs" dxfId="297" priority="565" operator="notEqual">
      <formula>"A"</formula>
    </cfRule>
  </conditionalFormatting>
  <conditionalFormatting sqref="D512">
    <cfRule type="cellIs" dxfId="296" priority="564" operator="equal">
      <formula>"N"</formula>
    </cfRule>
  </conditionalFormatting>
  <conditionalFormatting sqref="D498">
    <cfRule type="cellIs" dxfId="295" priority="563" operator="equal">
      <formula>"N"</formula>
    </cfRule>
  </conditionalFormatting>
  <conditionalFormatting sqref="H516">
    <cfRule type="cellIs" dxfId="294" priority="561" operator="notEqual">
      <formula>"A"</formula>
    </cfRule>
  </conditionalFormatting>
  <conditionalFormatting sqref="H513">
    <cfRule type="cellIs" dxfId="293" priority="559" operator="notEqual">
      <formula>"A"</formula>
    </cfRule>
  </conditionalFormatting>
  <conditionalFormatting sqref="D513">
    <cfRule type="cellIs" dxfId="292" priority="558" operator="equal">
      <formula>"N"</formula>
    </cfRule>
  </conditionalFormatting>
  <conditionalFormatting sqref="H514:H515">
    <cfRule type="cellIs" dxfId="291" priority="557" operator="notEqual">
      <formula>"A"</formula>
    </cfRule>
  </conditionalFormatting>
  <conditionalFormatting sqref="D515">
    <cfRule type="cellIs" dxfId="290" priority="554" operator="equal">
      <formula>"N"</formula>
    </cfRule>
  </conditionalFormatting>
  <conditionalFormatting sqref="D514">
    <cfRule type="cellIs" dxfId="289" priority="555" operator="equal">
      <formula>"N"</formula>
    </cfRule>
  </conditionalFormatting>
  <conditionalFormatting sqref="D516">
    <cfRule type="cellIs" dxfId="288" priority="553" operator="equal">
      <formula>"N"</formula>
    </cfRule>
  </conditionalFormatting>
  <conditionalFormatting sqref="H517:H518">
    <cfRule type="cellIs" dxfId="287" priority="552" operator="notEqual">
      <formula>"A"</formula>
    </cfRule>
  </conditionalFormatting>
  <conditionalFormatting sqref="D518">
    <cfRule type="cellIs" dxfId="286" priority="551" operator="equal">
      <formula>"N"</formula>
    </cfRule>
  </conditionalFormatting>
  <conditionalFormatting sqref="D517">
    <cfRule type="cellIs" dxfId="285" priority="550" operator="equal">
      <formula>"N"</formula>
    </cfRule>
  </conditionalFormatting>
  <conditionalFormatting sqref="H519:H520">
    <cfRule type="cellIs" dxfId="284" priority="549" operator="notEqual">
      <formula>"A"</formula>
    </cfRule>
  </conditionalFormatting>
  <conditionalFormatting sqref="D519:D520">
    <cfRule type="cellIs" dxfId="283" priority="546" operator="equal">
      <formula>"N"</formula>
    </cfRule>
  </conditionalFormatting>
  <conditionalFormatting sqref="H522">
    <cfRule type="cellIs" dxfId="282" priority="545" operator="notEqual">
      <formula>"A"</formula>
    </cfRule>
  </conditionalFormatting>
  <conditionalFormatting sqref="H521">
    <cfRule type="cellIs" dxfId="281" priority="542" operator="notEqual">
      <formula>"A"</formula>
    </cfRule>
  </conditionalFormatting>
  <conditionalFormatting sqref="D521">
    <cfRule type="cellIs" dxfId="280" priority="541" operator="equal">
      <formula>"N"</formula>
    </cfRule>
  </conditionalFormatting>
  <conditionalFormatting sqref="D522">
    <cfRule type="cellIs" dxfId="279" priority="540" operator="equal">
      <formula>"N"</formula>
    </cfRule>
  </conditionalFormatting>
  <conditionalFormatting sqref="H524">
    <cfRule type="cellIs" dxfId="278" priority="539" operator="notEqual">
      <formula>"A"</formula>
    </cfRule>
  </conditionalFormatting>
  <conditionalFormatting sqref="D524">
    <cfRule type="cellIs" dxfId="277" priority="538" operator="equal">
      <formula>"N"</formula>
    </cfRule>
  </conditionalFormatting>
  <conditionalFormatting sqref="H523">
    <cfRule type="cellIs" dxfId="276" priority="537" operator="notEqual">
      <formula>"A"</formula>
    </cfRule>
  </conditionalFormatting>
  <conditionalFormatting sqref="D523">
    <cfRule type="cellIs" dxfId="275" priority="536" operator="equal">
      <formula>"N"</formula>
    </cfRule>
  </conditionalFormatting>
  <conditionalFormatting sqref="D195">
    <cfRule type="cellIs" dxfId="274" priority="533" operator="equal">
      <formula>"N"</formula>
    </cfRule>
  </conditionalFormatting>
  <conditionalFormatting sqref="H195">
    <cfRule type="cellIs" dxfId="273" priority="532" operator="notEqual">
      <formula>"A"</formula>
    </cfRule>
  </conditionalFormatting>
  <conditionalFormatting sqref="D125">
    <cfRule type="cellIs" dxfId="272" priority="529" operator="equal">
      <formula>"N"</formula>
    </cfRule>
  </conditionalFormatting>
  <conditionalFormatting sqref="D198">
    <cfRule type="cellIs" dxfId="271" priority="527" operator="equal">
      <formula>"N"</formula>
    </cfRule>
  </conditionalFormatting>
  <conditionalFormatting sqref="H198">
    <cfRule type="cellIs" dxfId="270" priority="525" operator="notEqual">
      <formula>"A"</formula>
    </cfRule>
  </conditionalFormatting>
  <conditionalFormatting sqref="D238">
    <cfRule type="cellIs" dxfId="269" priority="523" operator="equal">
      <formula>"N"</formula>
    </cfRule>
  </conditionalFormatting>
  <conditionalFormatting sqref="H238">
    <cfRule type="cellIs" dxfId="268" priority="522" operator="notEqual">
      <formula>"A"</formula>
    </cfRule>
  </conditionalFormatting>
  <conditionalFormatting sqref="H319:H320 H322">
    <cfRule type="cellIs" dxfId="267" priority="519" operator="notEqual">
      <formula>"A"</formula>
    </cfRule>
  </conditionalFormatting>
  <conditionalFormatting sqref="D319:D320">
    <cfRule type="cellIs" dxfId="266" priority="516" operator="equal">
      <formula>"N"</formula>
    </cfRule>
  </conditionalFormatting>
  <conditionalFormatting sqref="H321">
    <cfRule type="cellIs" dxfId="265" priority="515" operator="notEqual">
      <formula>"A"</formula>
    </cfRule>
  </conditionalFormatting>
  <conditionalFormatting sqref="D321">
    <cfRule type="cellIs" dxfId="264" priority="513" operator="equal">
      <formula>"N"</formula>
    </cfRule>
  </conditionalFormatting>
  <conditionalFormatting sqref="D572">
    <cfRule type="cellIs" dxfId="263" priority="512" operator="equal">
      <formula>"N"</formula>
    </cfRule>
  </conditionalFormatting>
  <conditionalFormatting sqref="D559">
    <cfRule type="cellIs" dxfId="262" priority="505" operator="equal">
      <formula>"N"</formula>
    </cfRule>
  </conditionalFormatting>
  <conditionalFormatting sqref="H326">
    <cfRule type="cellIs" dxfId="261" priority="504" operator="notEqual">
      <formula>"A"</formula>
    </cfRule>
  </conditionalFormatting>
  <conditionalFormatting sqref="D593">
    <cfRule type="cellIs" dxfId="260" priority="499" operator="equal">
      <formula>"N"</formula>
    </cfRule>
  </conditionalFormatting>
  <conditionalFormatting sqref="D326">
    <cfRule type="cellIs" dxfId="259" priority="498" operator="equal">
      <formula>"N"</formula>
    </cfRule>
  </conditionalFormatting>
  <conditionalFormatting sqref="H327">
    <cfRule type="cellIs" dxfId="258" priority="497" operator="notEqual">
      <formula>"A"</formula>
    </cfRule>
  </conditionalFormatting>
  <conditionalFormatting sqref="H328">
    <cfRule type="cellIs" dxfId="257" priority="494" operator="notEqual">
      <formula>"A"</formula>
    </cfRule>
  </conditionalFormatting>
  <conditionalFormatting sqref="D322">
    <cfRule type="cellIs" dxfId="256" priority="488" operator="equal">
      <formula>"N"</formula>
    </cfRule>
  </conditionalFormatting>
  <conditionalFormatting sqref="A533">
    <cfRule type="duplicateValues" dxfId="255" priority="487"/>
  </conditionalFormatting>
  <conditionalFormatting sqref="H329">
    <cfRule type="cellIs" dxfId="254" priority="485" operator="notEqual">
      <formula>"A"</formula>
    </cfRule>
  </conditionalFormatting>
  <conditionalFormatting sqref="D329">
    <cfRule type="cellIs" dxfId="253" priority="481" operator="equal">
      <formula>"N"</formula>
    </cfRule>
  </conditionalFormatting>
  <conditionalFormatting sqref="D328">
    <cfRule type="cellIs" dxfId="252" priority="482" operator="equal">
      <formula>"N"</formula>
    </cfRule>
  </conditionalFormatting>
  <conditionalFormatting sqref="H330 H332">
    <cfRule type="cellIs" dxfId="251" priority="479" operator="notEqual">
      <formula>"A"</formula>
    </cfRule>
  </conditionalFormatting>
  <conditionalFormatting sqref="D330 D332">
    <cfRule type="cellIs" dxfId="250" priority="477" operator="equal">
      <formula>"N"</formula>
    </cfRule>
  </conditionalFormatting>
  <conditionalFormatting sqref="H333">
    <cfRule type="cellIs" dxfId="249" priority="475" operator="notEqual">
      <formula>"A"</formula>
    </cfRule>
  </conditionalFormatting>
  <conditionalFormatting sqref="D333">
    <cfRule type="cellIs" dxfId="248" priority="474" operator="equal">
      <formula>"N"</formula>
    </cfRule>
  </conditionalFormatting>
  <conditionalFormatting sqref="D327">
    <cfRule type="cellIs" dxfId="247" priority="472" operator="equal">
      <formula>"N"</formula>
    </cfRule>
  </conditionalFormatting>
  <conditionalFormatting sqref="H334">
    <cfRule type="cellIs" dxfId="246" priority="471" operator="notEqual">
      <formula>"A"</formula>
    </cfRule>
  </conditionalFormatting>
  <conditionalFormatting sqref="D334">
    <cfRule type="cellIs" dxfId="245" priority="469" operator="equal">
      <formula>"N"</formula>
    </cfRule>
  </conditionalFormatting>
  <conditionalFormatting sqref="D21">
    <cfRule type="cellIs" dxfId="244" priority="468" operator="equal">
      <formula>"N"</formula>
    </cfRule>
  </conditionalFormatting>
  <conditionalFormatting sqref="H21">
    <cfRule type="cellIs" dxfId="243" priority="467" operator="notEqual">
      <formula>"A"</formula>
    </cfRule>
  </conditionalFormatting>
  <conditionalFormatting sqref="D579">
    <cfRule type="cellIs" dxfId="242" priority="465" operator="equal">
      <formula>"N"</formula>
    </cfRule>
  </conditionalFormatting>
  <conditionalFormatting sqref="H335:H337">
    <cfRule type="cellIs" dxfId="241" priority="464" operator="notEqual">
      <formula>"A"</formula>
    </cfRule>
  </conditionalFormatting>
  <conditionalFormatting sqref="D335">
    <cfRule type="cellIs" dxfId="240" priority="463" operator="equal">
      <formula>"N"</formula>
    </cfRule>
  </conditionalFormatting>
  <conditionalFormatting sqref="D336">
    <cfRule type="cellIs" dxfId="239" priority="460" operator="equal">
      <formula>"N"</formula>
    </cfRule>
  </conditionalFormatting>
  <conditionalFormatting sqref="D337">
    <cfRule type="cellIs" dxfId="238" priority="457" operator="equal">
      <formula>"N"</formula>
    </cfRule>
  </conditionalFormatting>
  <conditionalFormatting sqref="A430">
    <cfRule type="duplicateValues" dxfId="237" priority="456"/>
  </conditionalFormatting>
  <conditionalFormatting sqref="H338">
    <cfRule type="cellIs" dxfId="236" priority="452" operator="notEqual">
      <formula>"A"</formula>
    </cfRule>
  </conditionalFormatting>
  <conditionalFormatting sqref="D338">
    <cfRule type="cellIs" dxfId="235" priority="451" operator="equal">
      <formula>"N"</formula>
    </cfRule>
  </conditionalFormatting>
  <conditionalFormatting sqref="H339:H340">
    <cfRule type="cellIs" dxfId="234" priority="449" operator="notEqual">
      <formula>"A"</formula>
    </cfRule>
  </conditionalFormatting>
  <conditionalFormatting sqref="D339">
    <cfRule type="cellIs" dxfId="233" priority="448" operator="equal">
      <formula>"N"</formula>
    </cfRule>
  </conditionalFormatting>
  <conditionalFormatting sqref="D340">
    <cfRule type="cellIs" dxfId="232" priority="447" operator="equal">
      <formula>"N"</formula>
    </cfRule>
  </conditionalFormatting>
  <conditionalFormatting sqref="H342">
    <cfRule type="cellIs" dxfId="231" priority="445" operator="notEqual">
      <formula>"A"</formula>
    </cfRule>
  </conditionalFormatting>
  <conditionalFormatting sqref="D342">
    <cfRule type="cellIs" dxfId="230" priority="444" operator="equal">
      <formula>"N"</formula>
    </cfRule>
  </conditionalFormatting>
  <conditionalFormatting sqref="H343">
    <cfRule type="cellIs" dxfId="229" priority="438" operator="notEqual">
      <formula>"A"</formula>
    </cfRule>
  </conditionalFormatting>
  <conditionalFormatting sqref="D343">
    <cfRule type="cellIs" dxfId="228" priority="437" operator="equal">
      <formula>"N"</formula>
    </cfRule>
  </conditionalFormatting>
  <conditionalFormatting sqref="H345">
    <cfRule type="cellIs" dxfId="227" priority="432" operator="notEqual">
      <formula>"A"</formula>
    </cfRule>
  </conditionalFormatting>
  <conditionalFormatting sqref="D345">
    <cfRule type="cellIs" dxfId="226" priority="430" operator="equal">
      <formula>"N"</formula>
    </cfRule>
  </conditionalFormatting>
  <conditionalFormatting sqref="H344">
    <cfRule type="cellIs" dxfId="225" priority="428" operator="notEqual">
      <formula>"A"</formula>
    </cfRule>
  </conditionalFormatting>
  <conditionalFormatting sqref="D344">
    <cfRule type="cellIs" dxfId="224" priority="427" operator="equal">
      <formula>"N"</formula>
    </cfRule>
  </conditionalFormatting>
  <conditionalFormatting sqref="D538">
    <cfRule type="cellIs" dxfId="223" priority="423" operator="equal">
      <formula>"N"</formula>
    </cfRule>
  </conditionalFormatting>
  <conditionalFormatting sqref="D539">
    <cfRule type="cellIs" dxfId="222" priority="422" operator="equal">
      <formula>"N"</formula>
    </cfRule>
  </conditionalFormatting>
  <conditionalFormatting sqref="D540">
    <cfRule type="cellIs" dxfId="221" priority="421" operator="equal">
      <formula>"N"</formula>
    </cfRule>
  </conditionalFormatting>
  <conditionalFormatting sqref="D541:D542">
    <cfRule type="cellIs" dxfId="220" priority="420" operator="equal">
      <formula>"N"</formula>
    </cfRule>
  </conditionalFormatting>
  <conditionalFormatting sqref="D543">
    <cfRule type="cellIs" dxfId="219" priority="419" operator="equal">
      <formula>"N"</formula>
    </cfRule>
  </conditionalFormatting>
  <conditionalFormatting sqref="H346">
    <cfRule type="cellIs" dxfId="218" priority="417" operator="notEqual">
      <formula>"A"</formula>
    </cfRule>
  </conditionalFormatting>
  <conditionalFormatting sqref="D346">
    <cfRule type="cellIs" dxfId="217" priority="416" operator="equal">
      <formula>"N"</formula>
    </cfRule>
  </conditionalFormatting>
  <conditionalFormatting sqref="D576">
    <cfRule type="cellIs" dxfId="216" priority="412" operator="equal">
      <formula>"N"</formula>
    </cfRule>
  </conditionalFormatting>
  <conditionalFormatting sqref="H347">
    <cfRule type="cellIs" dxfId="215" priority="409" operator="notEqual">
      <formula>"A"</formula>
    </cfRule>
  </conditionalFormatting>
  <conditionalFormatting sqref="D347">
    <cfRule type="cellIs" dxfId="214" priority="408" operator="equal">
      <formula>"N"</formula>
    </cfRule>
  </conditionalFormatting>
  <conditionalFormatting sqref="D267">
    <cfRule type="cellIs" dxfId="213" priority="406" operator="equal">
      <formula>"N"</formula>
    </cfRule>
  </conditionalFormatting>
  <conditionalFormatting sqref="H267">
    <cfRule type="cellIs" dxfId="212" priority="405" operator="notEqual">
      <formula>"A"</formula>
    </cfRule>
  </conditionalFormatting>
  <conditionalFormatting sqref="D204">
    <cfRule type="cellIs" dxfId="211" priority="404" operator="equal">
      <formula>"N"</formula>
    </cfRule>
  </conditionalFormatting>
  <conditionalFormatting sqref="H204">
    <cfRule type="cellIs" dxfId="210" priority="401" operator="notEqual">
      <formula>"A"</formula>
    </cfRule>
  </conditionalFormatting>
  <conditionalFormatting sqref="H348">
    <cfRule type="cellIs" dxfId="209" priority="399" operator="notEqual">
      <formula>"A"</formula>
    </cfRule>
  </conditionalFormatting>
  <conditionalFormatting sqref="D348">
    <cfRule type="cellIs" dxfId="208" priority="398" operator="equal">
      <formula>"N"</formula>
    </cfRule>
  </conditionalFormatting>
  <conditionalFormatting sqref="D253">
    <cfRule type="cellIs" dxfId="207" priority="395" operator="equal">
      <formula>"N"</formula>
    </cfRule>
  </conditionalFormatting>
  <conditionalFormatting sqref="H253">
    <cfRule type="cellIs" dxfId="206" priority="394" operator="notEqual">
      <formula>"A"</formula>
    </cfRule>
  </conditionalFormatting>
  <conditionalFormatting sqref="D249">
    <cfRule type="cellIs" dxfId="205" priority="392" operator="equal">
      <formula>"N"</formula>
    </cfRule>
  </conditionalFormatting>
  <conditionalFormatting sqref="D249">
    <cfRule type="cellIs" dxfId="204" priority="391" operator="equal">
      <formula>"N"</formula>
    </cfRule>
  </conditionalFormatting>
  <conditionalFormatting sqref="H249">
    <cfRule type="cellIs" dxfId="203" priority="390" operator="notEqual">
      <formula>"A"</formula>
    </cfRule>
  </conditionalFormatting>
  <conditionalFormatting sqref="H349">
    <cfRule type="cellIs" dxfId="202" priority="382" operator="notEqual">
      <formula>"A"</formula>
    </cfRule>
  </conditionalFormatting>
  <conditionalFormatting sqref="D349">
    <cfRule type="cellIs" dxfId="201" priority="381" operator="equal">
      <formula>"N"</formula>
    </cfRule>
  </conditionalFormatting>
  <conditionalFormatting sqref="H351">
    <cfRule type="cellIs" dxfId="200" priority="380" operator="notEqual">
      <formula>"A"</formula>
    </cfRule>
  </conditionalFormatting>
  <conditionalFormatting sqref="D351">
    <cfRule type="cellIs" dxfId="199" priority="379" operator="equal">
      <formula>"N"</formula>
    </cfRule>
  </conditionalFormatting>
  <conditionalFormatting sqref="H350">
    <cfRule type="cellIs" dxfId="198" priority="378" operator="notEqual">
      <formula>"A"</formula>
    </cfRule>
  </conditionalFormatting>
  <conditionalFormatting sqref="D350">
    <cfRule type="cellIs" dxfId="197" priority="377" operator="equal">
      <formula>"N"</formula>
    </cfRule>
  </conditionalFormatting>
  <conditionalFormatting sqref="D353">
    <cfRule type="cellIs" dxfId="196" priority="368" operator="equal">
      <formula>"N"</formula>
    </cfRule>
  </conditionalFormatting>
  <conditionalFormatting sqref="H352">
    <cfRule type="cellIs" dxfId="195" priority="361" operator="notEqual">
      <formula>"A"</formula>
    </cfRule>
  </conditionalFormatting>
  <conditionalFormatting sqref="H353">
    <cfRule type="cellIs" dxfId="194" priority="363" operator="notEqual">
      <formula>"A"</formula>
    </cfRule>
  </conditionalFormatting>
  <conditionalFormatting sqref="D352">
    <cfRule type="cellIs" dxfId="193" priority="359" operator="equal">
      <formula>"N"</formula>
    </cfRule>
  </conditionalFormatting>
  <conditionalFormatting sqref="D180:D181">
    <cfRule type="cellIs" dxfId="192" priority="357" operator="equal">
      <formula>"N"</formula>
    </cfRule>
  </conditionalFormatting>
  <conditionalFormatting sqref="H180:H181">
    <cfRule type="cellIs" dxfId="191" priority="356" operator="notEqual">
      <formula>"A"</formula>
    </cfRule>
  </conditionalFormatting>
  <conditionalFormatting sqref="D583">
    <cfRule type="cellIs" dxfId="190" priority="354" operator="equal">
      <formula>"N"</formula>
    </cfRule>
  </conditionalFormatting>
  <conditionalFormatting sqref="D354">
    <cfRule type="cellIs" dxfId="189" priority="352" operator="equal">
      <formula>"N"</formula>
    </cfRule>
  </conditionalFormatting>
  <conditionalFormatting sqref="H354">
    <cfRule type="cellIs" dxfId="188" priority="351" operator="notEqual">
      <formula>"A"</formula>
    </cfRule>
  </conditionalFormatting>
  <conditionalFormatting sqref="D575">
    <cfRule type="cellIs" dxfId="187" priority="349" operator="equal">
      <formula>"N"</formula>
    </cfRule>
  </conditionalFormatting>
  <conditionalFormatting sqref="D548">
    <cfRule type="cellIs" dxfId="186" priority="345" operator="equal">
      <formula>"N"</formula>
    </cfRule>
  </conditionalFormatting>
  <conditionalFormatting sqref="A549">
    <cfRule type="duplicateValues" dxfId="185" priority="348"/>
  </conditionalFormatting>
  <conditionalFormatting sqref="D549">
    <cfRule type="cellIs" dxfId="184" priority="344" operator="equal">
      <formula>"N"</formula>
    </cfRule>
  </conditionalFormatting>
  <conditionalFormatting sqref="D550">
    <cfRule type="cellIs" dxfId="183" priority="343" operator="equal">
      <formula>"N"</formula>
    </cfRule>
  </conditionalFormatting>
  <conditionalFormatting sqref="H355">
    <cfRule type="cellIs" dxfId="182" priority="341" operator="notEqual">
      <formula>"A"</formula>
    </cfRule>
  </conditionalFormatting>
  <conditionalFormatting sqref="D355">
    <cfRule type="cellIs" dxfId="181" priority="340" operator="equal">
      <formula>"N"</formula>
    </cfRule>
  </conditionalFormatting>
  <conditionalFormatting sqref="D600">
    <cfRule type="cellIs" dxfId="180" priority="338" operator="equal">
      <formula>"N"</formula>
    </cfRule>
  </conditionalFormatting>
  <conditionalFormatting sqref="D251">
    <cfRule type="cellIs" dxfId="179" priority="336" operator="equal">
      <formula>"N"</formula>
    </cfRule>
  </conditionalFormatting>
  <conditionalFormatting sqref="H358">
    <cfRule type="cellIs" dxfId="178" priority="334" operator="notEqual">
      <formula>"A"</formula>
    </cfRule>
  </conditionalFormatting>
  <conditionalFormatting sqref="D358">
    <cfRule type="cellIs" dxfId="177" priority="332" operator="equal">
      <formula>"N"</formula>
    </cfRule>
  </conditionalFormatting>
  <conditionalFormatting sqref="H356">
    <cfRule type="cellIs" dxfId="176" priority="330" operator="notEqual">
      <formula>"A"</formula>
    </cfRule>
  </conditionalFormatting>
  <conditionalFormatting sqref="D356">
    <cfRule type="cellIs" dxfId="175" priority="329" operator="equal">
      <formula>"N"</formula>
    </cfRule>
  </conditionalFormatting>
  <conditionalFormatting sqref="H357">
    <cfRule type="cellIs" dxfId="174" priority="327" operator="notEqual">
      <formula>"A"</formula>
    </cfRule>
  </conditionalFormatting>
  <conditionalFormatting sqref="D357">
    <cfRule type="cellIs" dxfId="173" priority="326" operator="equal">
      <formula>"N"</formula>
    </cfRule>
  </conditionalFormatting>
  <conditionalFormatting sqref="H359 H361:H362">
    <cfRule type="cellIs" dxfId="172" priority="324" operator="notEqual">
      <formula>"A"</formula>
    </cfRule>
  </conditionalFormatting>
  <conditionalFormatting sqref="D359 D361:D362">
    <cfRule type="cellIs" dxfId="171" priority="323" operator="equal">
      <formula>"N"</formula>
    </cfRule>
  </conditionalFormatting>
  <conditionalFormatting sqref="H360">
    <cfRule type="cellIs" dxfId="170" priority="320" operator="notEqual">
      <formula>"A"</formula>
    </cfRule>
  </conditionalFormatting>
  <conditionalFormatting sqref="D360">
    <cfRule type="cellIs" dxfId="169" priority="319" operator="equal">
      <formula>"N"</formula>
    </cfRule>
  </conditionalFormatting>
  <conditionalFormatting sqref="H288">
    <cfRule type="cellIs" dxfId="168" priority="316" operator="notEqual">
      <formula>"A"</formula>
    </cfRule>
  </conditionalFormatting>
  <conditionalFormatting sqref="D182">
    <cfRule type="cellIs" dxfId="167" priority="313" operator="equal">
      <formula>"N"</formula>
    </cfRule>
  </conditionalFormatting>
  <conditionalFormatting sqref="H182">
    <cfRule type="cellIs" dxfId="166" priority="312" operator="notEqual">
      <formula>"A"</formula>
    </cfRule>
  </conditionalFormatting>
  <conditionalFormatting sqref="D120">
    <cfRule type="cellIs" dxfId="165" priority="308" operator="equal">
      <formula>"N"</formula>
    </cfRule>
  </conditionalFormatting>
  <conditionalFormatting sqref="H120">
    <cfRule type="cellIs" dxfId="164" priority="307" operator="notEqual">
      <formula>"A"</formula>
    </cfRule>
  </conditionalFormatting>
  <conditionalFormatting sqref="H363:H364">
    <cfRule type="cellIs" dxfId="163" priority="305" operator="notEqual">
      <formula>"A"</formula>
    </cfRule>
  </conditionalFormatting>
  <conditionalFormatting sqref="D363:D364">
    <cfRule type="cellIs" dxfId="162" priority="303" operator="equal">
      <formula>"N"</formula>
    </cfRule>
  </conditionalFormatting>
  <conditionalFormatting sqref="H365">
    <cfRule type="cellIs" dxfId="161" priority="301" operator="notEqual">
      <formula>"A"</formula>
    </cfRule>
  </conditionalFormatting>
  <conditionalFormatting sqref="D365">
    <cfRule type="cellIs" dxfId="160" priority="300" operator="equal">
      <formula>"N"</formula>
    </cfRule>
  </conditionalFormatting>
  <conditionalFormatting sqref="H371">
    <cfRule type="cellIs" dxfId="159" priority="299" operator="notEqual">
      <formula>"A"</formula>
    </cfRule>
  </conditionalFormatting>
  <conditionalFormatting sqref="D371">
    <cfRule type="cellIs" dxfId="158" priority="298" operator="equal">
      <formula>"N"</formula>
    </cfRule>
  </conditionalFormatting>
  <conditionalFormatting sqref="H370">
    <cfRule type="cellIs" dxfId="157" priority="296" operator="notEqual">
      <formula>"A"</formula>
    </cfRule>
  </conditionalFormatting>
  <conditionalFormatting sqref="D370">
    <cfRule type="cellIs" dxfId="156" priority="295" operator="equal">
      <formula>"N"</formula>
    </cfRule>
  </conditionalFormatting>
  <conditionalFormatting sqref="H372:H373">
    <cfRule type="cellIs" dxfId="155" priority="293" operator="notEqual">
      <formula>"A"</formula>
    </cfRule>
  </conditionalFormatting>
  <conditionalFormatting sqref="D372:D373">
    <cfRule type="cellIs" dxfId="154" priority="292" operator="equal">
      <formula>"N"</formula>
    </cfRule>
  </conditionalFormatting>
  <conditionalFormatting sqref="H366 H369">
    <cfRule type="cellIs" dxfId="153" priority="290" operator="notEqual">
      <formula>"A"</formula>
    </cfRule>
  </conditionalFormatting>
  <conditionalFormatting sqref="D369">
    <cfRule type="cellIs" dxfId="152" priority="289" operator="equal">
      <formula>"N"</formula>
    </cfRule>
  </conditionalFormatting>
  <conditionalFormatting sqref="H374">
    <cfRule type="cellIs" dxfId="151" priority="287" operator="notEqual">
      <formula>"A"</formula>
    </cfRule>
  </conditionalFormatting>
  <conditionalFormatting sqref="D374">
    <cfRule type="cellIs" dxfId="150" priority="286" operator="equal">
      <formula>"N"</formula>
    </cfRule>
  </conditionalFormatting>
  <conditionalFormatting sqref="H367">
    <cfRule type="cellIs" dxfId="149" priority="284" operator="notEqual">
      <formula>"A"</formula>
    </cfRule>
  </conditionalFormatting>
  <conditionalFormatting sqref="D366:D367">
    <cfRule type="cellIs" dxfId="148" priority="282" operator="equal">
      <formula>"N"</formula>
    </cfRule>
  </conditionalFormatting>
  <conditionalFormatting sqref="H380">
    <cfRule type="cellIs" dxfId="147" priority="280" operator="notEqual">
      <formula>"A"</formula>
    </cfRule>
  </conditionalFormatting>
  <conditionalFormatting sqref="H375">
    <cfRule type="cellIs" dxfId="146" priority="277" operator="notEqual">
      <formula>"A"</formula>
    </cfRule>
  </conditionalFormatting>
  <conditionalFormatting sqref="D375">
    <cfRule type="cellIs" dxfId="145" priority="275" operator="equal">
      <formula>"N"</formula>
    </cfRule>
  </conditionalFormatting>
  <conditionalFormatting sqref="H377">
    <cfRule type="cellIs" dxfId="144" priority="272" operator="notEqual">
      <formula>"A"</formula>
    </cfRule>
  </conditionalFormatting>
  <conditionalFormatting sqref="D377">
    <cfRule type="cellIs" dxfId="143" priority="271" operator="equal">
      <formula>"N"</formula>
    </cfRule>
  </conditionalFormatting>
  <conditionalFormatting sqref="H376">
    <cfRule type="cellIs" dxfId="142" priority="269" operator="notEqual">
      <formula>"A"</formula>
    </cfRule>
  </conditionalFormatting>
  <conditionalFormatting sqref="H378:H379">
    <cfRule type="cellIs" dxfId="141" priority="266" operator="notEqual">
      <formula>"A"</formula>
    </cfRule>
  </conditionalFormatting>
  <conditionalFormatting sqref="D378">
    <cfRule type="cellIs" dxfId="140" priority="265" operator="equal">
      <formula>"N"</formula>
    </cfRule>
  </conditionalFormatting>
  <conditionalFormatting sqref="D379:D380">
    <cfRule type="cellIs" dxfId="139" priority="264" operator="equal">
      <formula>"N"</formula>
    </cfRule>
  </conditionalFormatting>
  <conditionalFormatting sqref="D376">
    <cfRule type="cellIs" dxfId="138" priority="263" operator="equal">
      <formula>"N"</formula>
    </cfRule>
  </conditionalFormatting>
  <conditionalFormatting sqref="H382 H386">
    <cfRule type="cellIs" dxfId="137" priority="261" operator="notEqual">
      <formula>"A"</formula>
    </cfRule>
  </conditionalFormatting>
  <conditionalFormatting sqref="H394">
    <cfRule type="cellIs" dxfId="136" priority="258" operator="notEqual">
      <formula>"A"</formula>
    </cfRule>
  </conditionalFormatting>
  <conditionalFormatting sqref="H383">
    <cfRule type="cellIs" dxfId="135" priority="254" operator="notEqual">
      <formula>"A"</formula>
    </cfRule>
  </conditionalFormatting>
  <conditionalFormatting sqref="D383">
    <cfRule type="cellIs" dxfId="134" priority="252" operator="equal">
      <formula>"N"</formula>
    </cfRule>
  </conditionalFormatting>
  <conditionalFormatting sqref="D382">
    <cfRule type="cellIs" dxfId="133" priority="251" operator="equal">
      <formula>"N"</formula>
    </cfRule>
  </conditionalFormatting>
  <conditionalFormatting sqref="D381">
    <cfRule type="cellIs" dxfId="132" priority="250" operator="equal">
      <formula>"N"</formula>
    </cfRule>
  </conditionalFormatting>
  <conditionalFormatting sqref="H381">
    <cfRule type="cellIs" dxfId="131" priority="249" operator="notEqual">
      <formula>"A"</formula>
    </cfRule>
  </conditionalFormatting>
  <conditionalFormatting sqref="H384">
    <cfRule type="cellIs" dxfId="130" priority="246" operator="notEqual">
      <formula>"A"</formula>
    </cfRule>
  </conditionalFormatting>
  <conditionalFormatting sqref="D384">
    <cfRule type="cellIs" dxfId="129" priority="245" operator="equal">
      <formula>"N"</formula>
    </cfRule>
  </conditionalFormatting>
  <conditionalFormatting sqref="H385">
    <cfRule type="cellIs" dxfId="128" priority="243" operator="notEqual">
      <formula>"A"</formula>
    </cfRule>
  </conditionalFormatting>
  <conditionalFormatting sqref="D385">
    <cfRule type="cellIs" dxfId="127" priority="241" operator="equal">
      <formula>"N"</formula>
    </cfRule>
  </conditionalFormatting>
  <conditionalFormatting sqref="D386">
    <cfRule type="cellIs" dxfId="126" priority="240" operator="equal">
      <formula>"N"</formula>
    </cfRule>
  </conditionalFormatting>
  <conditionalFormatting sqref="D288">
    <cfRule type="cellIs" dxfId="125" priority="238" operator="equal">
      <formula>"N"</formula>
    </cfRule>
  </conditionalFormatting>
  <conditionalFormatting sqref="H387">
    <cfRule type="cellIs" dxfId="124" priority="236" operator="notEqual">
      <formula>"A"</formula>
    </cfRule>
  </conditionalFormatting>
  <conditionalFormatting sqref="D387">
    <cfRule type="cellIs" dxfId="123" priority="235" operator="equal">
      <formula>"N"</formula>
    </cfRule>
  </conditionalFormatting>
  <conditionalFormatting sqref="H388">
    <cfRule type="cellIs" dxfId="122" priority="233" operator="notEqual">
      <formula>"A"</formula>
    </cfRule>
  </conditionalFormatting>
  <conditionalFormatting sqref="H389">
    <cfRule type="cellIs" dxfId="121" priority="230" operator="notEqual">
      <formula>"A"</formula>
    </cfRule>
  </conditionalFormatting>
  <conditionalFormatting sqref="H276 H278">
    <cfRule type="cellIs" dxfId="120" priority="226" operator="notEqual">
      <formula>"A"</formula>
    </cfRule>
  </conditionalFormatting>
  <conditionalFormatting sqref="D276 D278">
    <cfRule type="cellIs" dxfId="119" priority="225" operator="equal">
      <formula>"N"</formula>
    </cfRule>
  </conditionalFormatting>
  <conditionalFormatting sqref="D388">
    <cfRule type="cellIs" dxfId="118" priority="219" operator="equal">
      <formula>"N"</formula>
    </cfRule>
  </conditionalFormatting>
  <conditionalFormatting sqref="D594">
    <cfRule type="cellIs" dxfId="117" priority="218" operator="equal">
      <formula>"N"</formula>
    </cfRule>
  </conditionalFormatting>
  <conditionalFormatting sqref="A10:A183 A603 A189:A428">
    <cfRule type="duplicateValues" dxfId="116" priority="719"/>
  </conditionalFormatting>
  <conditionalFormatting sqref="H390">
    <cfRule type="cellIs" dxfId="115" priority="216" operator="notEqual">
      <formula>"A"</formula>
    </cfRule>
  </conditionalFormatting>
  <conditionalFormatting sqref="D390">
    <cfRule type="cellIs" dxfId="114" priority="215" operator="equal">
      <formula>"N"</formula>
    </cfRule>
  </conditionalFormatting>
  <conditionalFormatting sqref="H391">
    <cfRule type="cellIs" dxfId="113" priority="213" operator="notEqual">
      <formula>"A"</formula>
    </cfRule>
  </conditionalFormatting>
  <conditionalFormatting sqref="D391">
    <cfRule type="cellIs" dxfId="112" priority="212" operator="equal">
      <formula>"N"</formula>
    </cfRule>
  </conditionalFormatting>
  <conditionalFormatting sqref="H392">
    <cfRule type="cellIs" dxfId="111" priority="210" operator="notEqual">
      <formula>"A"</formula>
    </cfRule>
  </conditionalFormatting>
  <conditionalFormatting sqref="H393">
    <cfRule type="cellIs" dxfId="110" priority="207" operator="notEqual">
      <formula>"A"</formula>
    </cfRule>
  </conditionalFormatting>
  <conditionalFormatting sqref="D392">
    <cfRule type="cellIs" dxfId="109" priority="204" operator="equal">
      <formula>"N"</formula>
    </cfRule>
  </conditionalFormatting>
  <conditionalFormatting sqref="D394">
    <cfRule type="cellIs" dxfId="108" priority="203" operator="equal">
      <formula>"N"</formula>
    </cfRule>
  </conditionalFormatting>
  <conditionalFormatting sqref="D393">
    <cfRule type="cellIs" dxfId="107" priority="202" operator="equal">
      <formula>"N"</formula>
    </cfRule>
  </conditionalFormatting>
  <conditionalFormatting sqref="D389">
    <cfRule type="cellIs" dxfId="106" priority="201" operator="equal">
      <formula>"N"</formula>
    </cfRule>
  </conditionalFormatting>
  <conditionalFormatting sqref="H395">
    <cfRule type="cellIs" dxfId="105" priority="198" operator="notEqual">
      <formula>"A"</formula>
    </cfRule>
  </conditionalFormatting>
  <conditionalFormatting sqref="D207">
    <cfRule type="cellIs" dxfId="104" priority="195" operator="equal">
      <formula>"N"</formula>
    </cfRule>
  </conditionalFormatting>
  <conditionalFormatting sqref="H207">
    <cfRule type="cellIs" dxfId="103" priority="194" operator="notEqual">
      <formula>"A"</formula>
    </cfRule>
  </conditionalFormatting>
  <conditionalFormatting sqref="H396">
    <cfRule type="cellIs" dxfId="102" priority="192" operator="notEqual">
      <formula>"A"</formula>
    </cfRule>
  </conditionalFormatting>
  <conditionalFormatting sqref="D395">
    <cfRule type="cellIs" dxfId="101" priority="188" operator="equal">
      <formula>"N"</formula>
    </cfRule>
  </conditionalFormatting>
  <conditionalFormatting sqref="D396">
    <cfRule type="cellIs" dxfId="100" priority="189" operator="equal">
      <formula>"N"</formula>
    </cfRule>
  </conditionalFormatting>
  <conditionalFormatting sqref="D590">
    <cfRule type="cellIs" dxfId="99" priority="185" operator="equal">
      <formula>"N"</formula>
    </cfRule>
  </conditionalFormatting>
  <conditionalFormatting sqref="D165">
    <cfRule type="cellIs" dxfId="98" priority="180" operator="equal">
      <formula>"N"</formula>
    </cfRule>
  </conditionalFormatting>
  <conditionalFormatting sqref="H165">
    <cfRule type="cellIs" dxfId="97" priority="179" operator="notEqual">
      <formula>"A"</formula>
    </cfRule>
  </conditionalFormatting>
  <conditionalFormatting sqref="H397">
    <cfRule type="cellIs" dxfId="96" priority="176" operator="notEqual">
      <formula>"A"</formula>
    </cfRule>
  </conditionalFormatting>
  <conditionalFormatting sqref="D397">
    <cfRule type="cellIs" dxfId="95" priority="175" operator="equal">
      <formula>"N"</formula>
    </cfRule>
  </conditionalFormatting>
  <conditionalFormatting sqref="H398">
    <cfRule type="cellIs" dxfId="94" priority="172" operator="notEqual">
      <formula>"A"</formula>
    </cfRule>
  </conditionalFormatting>
  <conditionalFormatting sqref="D398">
    <cfRule type="cellIs" dxfId="93" priority="171" operator="equal">
      <formula>"N"</formula>
    </cfRule>
  </conditionalFormatting>
  <conditionalFormatting sqref="D602">
    <cfRule type="cellIs" dxfId="92" priority="170" operator="equal">
      <formula>"N"</formula>
    </cfRule>
  </conditionalFormatting>
  <conditionalFormatting sqref="H401">
    <cfRule type="cellIs" dxfId="91" priority="168" operator="notEqual">
      <formula>"A"</formula>
    </cfRule>
  </conditionalFormatting>
  <conditionalFormatting sqref="D119">
    <cfRule type="cellIs" dxfId="90" priority="165" operator="equal">
      <formula>"N"</formula>
    </cfRule>
  </conditionalFormatting>
  <conditionalFormatting sqref="H119">
    <cfRule type="cellIs" dxfId="89" priority="164" operator="notEqual">
      <formula>"A"</formula>
    </cfRule>
  </conditionalFormatting>
  <conditionalFormatting sqref="H341">
    <cfRule type="cellIs" dxfId="88" priority="161" operator="notEqual">
      <formula>"A"</formula>
    </cfRule>
  </conditionalFormatting>
  <conditionalFormatting sqref="D341">
    <cfRule type="cellIs" dxfId="87" priority="160" operator="equal">
      <formula>"N"</formula>
    </cfRule>
  </conditionalFormatting>
  <conditionalFormatting sqref="D40">
    <cfRule type="cellIs" dxfId="86" priority="158" operator="equal">
      <formula>"N"</formula>
    </cfRule>
  </conditionalFormatting>
  <conditionalFormatting sqref="H40">
    <cfRule type="cellIs" dxfId="85" priority="157" operator="notEqual">
      <formula>"A"</formula>
    </cfRule>
  </conditionalFormatting>
  <conditionalFormatting sqref="H400">
    <cfRule type="cellIs" dxfId="84" priority="155" operator="notEqual">
      <formula>"A"</formula>
    </cfRule>
  </conditionalFormatting>
  <conditionalFormatting sqref="D400">
    <cfRule type="cellIs" dxfId="83" priority="154" operator="equal">
      <formula>"N"</formula>
    </cfRule>
  </conditionalFormatting>
  <conditionalFormatting sqref="H402">
    <cfRule type="cellIs" dxfId="82" priority="149" operator="notEqual">
      <formula>"A"</formula>
    </cfRule>
  </conditionalFormatting>
  <conditionalFormatting sqref="D584">
    <cfRule type="cellIs" dxfId="81" priority="146" operator="equal">
      <formula>"N"</formula>
    </cfRule>
  </conditionalFormatting>
  <conditionalFormatting sqref="A584">
    <cfRule type="duplicateValues" dxfId="80" priority="147"/>
  </conditionalFormatting>
  <conditionalFormatting sqref="D401:D402">
    <cfRule type="cellIs" dxfId="79" priority="140" operator="equal">
      <formula>"N"</formula>
    </cfRule>
  </conditionalFormatting>
  <conditionalFormatting sqref="H403">
    <cfRule type="cellIs" dxfId="78" priority="138" operator="notEqual">
      <formula>"A"</formula>
    </cfRule>
  </conditionalFormatting>
  <conditionalFormatting sqref="D403">
    <cfRule type="cellIs" dxfId="77" priority="137" operator="equal">
      <formula>"N"</formula>
    </cfRule>
  </conditionalFormatting>
  <conditionalFormatting sqref="H404">
    <cfRule type="cellIs" dxfId="76" priority="135" operator="notEqual">
      <formula>"A"</formula>
    </cfRule>
  </conditionalFormatting>
  <conditionalFormatting sqref="H405">
    <cfRule type="cellIs" dxfId="75" priority="132" operator="notEqual">
      <formula>"A"</formula>
    </cfRule>
  </conditionalFormatting>
  <conditionalFormatting sqref="H406">
    <cfRule type="cellIs" dxfId="74" priority="128" operator="notEqual">
      <formula>"A"</formula>
    </cfRule>
  </conditionalFormatting>
  <conditionalFormatting sqref="D406">
    <cfRule type="cellIs" dxfId="73" priority="127" operator="equal">
      <formula>"N"</formula>
    </cfRule>
  </conditionalFormatting>
  <conditionalFormatting sqref="H407">
    <cfRule type="cellIs" dxfId="72" priority="125" operator="notEqual">
      <formula>"A"</formula>
    </cfRule>
  </conditionalFormatting>
  <conditionalFormatting sqref="H408">
    <cfRule type="cellIs" dxfId="71" priority="122" operator="notEqual">
      <formula>"A"</formula>
    </cfRule>
  </conditionalFormatting>
  <conditionalFormatting sqref="H399">
    <cfRule type="cellIs" dxfId="70" priority="119" operator="notEqual">
      <formula>"A"</formula>
    </cfRule>
  </conditionalFormatting>
  <conditionalFormatting sqref="D399">
    <cfRule type="cellIs" dxfId="69" priority="118" operator="equal">
      <formula>"N"</formula>
    </cfRule>
  </conditionalFormatting>
  <conditionalFormatting sqref="D407">
    <cfRule type="cellIs" dxfId="68" priority="117" operator="equal">
      <formula>"N"</formula>
    </cfRule>
  </conditionalFormatting>
  <conditionalFormatting sqref="H409">
    <cfRule type="cellIs" dxfId="67" priority="115" operator="notEqual">
      <formula>"A"</formula>
    </cfRule>
  </conditionalFormatting>
  <conditionalFormatting sqref="D408">
    <cfRule type="cellIs" dxfId="66" priority="113" operator="equal">
      <formula>"N"</formula>
    </cfRule>
  </conditionalFormatting>
  <conditionalFormatting sqref="D409">
    <cfRule type="cellIs" dxfId="65" priority="112" operator="equal">
      <formula>"N"</formula>
    </cfRule>
  </conditionalFormatting>
  <conditionalFormatting sqref="H410">
    <cfRule type="cellIs" dxfId="64" priority="110" operator="notEqual">
      <formula>"A"</formula>
    </cfRule>
  </conditionalFormatting>
  <conditionalFormatting sqref="H411">
    <cfRule type="cellIs" dxfId="63" priority="107" operator="notEqual">
      <formula>"A"</formula>
    </cfRule>
  </conditionalFormatting>
  <conditionalFormatting sqref="D603">
    <cfRule type="cellIs" dxfId="62" priority="103" operator="equal">
      <formula>"N"</formula>
    </cfRule>
  </conditionalFormatting>
  <conditionalFormatting sqref="H277">
    <cfRule type="cellIs" dxfId="61" priority="101" operator="notEqual">
      <formula>"A"</formula>
    </cfRule>
  </conditionalFormatting>
  <conditionalFormatting sqref="D277">
    <cfRule type="cellIs" dxfId="60" priority="100" operator="equal">
      <formula>"N"</formula>
    </cfRule>
  </conditionalFormatting>
  <conditionalFormatting sqref="H272">
    <cfRule type="cellIs" dxfId="59" priority="98" operator="notEqual">
      <formula>"A"</formula>
    </cfRule>
  </conditionalFormatting>
  <conditionalFormatting sqref="D272">
    <cfRule type="cellIs" dxfId="58" priority="97" operator="equal">
      <formula>"N"</formula>
    </cfRule>
  </conditionalFormatting>
  <conditionalFormatting sqref="D279">
    <cfRule type="cellIs" dxfId="57" priority="95" operator="equal">
      <formula>"N"</formula>
    </cfRule>
  </conditionalFormatting>
  <conditionalFormatting sqref="H279">
    <cfRule type="cellIs" dxfId="56" priority="94" operator="notEqual">
      <formula>"A"</formula>
    </cfRule>
  </conditionalFormatting>
  <conditionalFormatting sqref="H280 H282">
    <cfRule type="cellIs" dxfId="55" priority="93" operator="notEqual">
      <formula>"A"</formula>
    </cfRule>
  </conditionalFormatting>
  <conditionalFormatting sqref="D280 D282">
    <cfRule type="cellIs" dxfId="54" priority="92" operator="equal">
      <formula>"N"</formula>
    </cfRule>
  </conditionalFormatting>
  <conditionalFormatting sqref="H281">
    <cfRule type="cellIs" dxfId="53" priority="90" operator="notEqual">
      <formula>"A"</formula>
    </cfRule>
  </conditionalFormatting>
  <conditionalFormatting sqref="D281">
    <cfRule type="cellIs" dxfId="52" priority="89" operator="equal">
      <formula>"N"</formula>
    </cfRule>
  </conditionalFormatting>
  <conditionalFormatting sqref="H412">
    <cfRule type="cellIs" dxfId="51" priority="87" operator="notEqual">
      <formula>"A"</formula>
    </cfRule>
  </conditionalFormatting>
  <conditionalFormatting sqref="D410:D412">
    <cfRule type="cellIs" dxfId="50" priority="85" operator="equal">
      <formula>"N"</formula>
    </cfRule>
  </conditionalFormatting>
  <conditionalFormatting sqref="H417">
    <cfRule type="cellIs" dxfId="49" priority="83" operator="notEqual">
      <formula>"A"</formula>
    </cfRule>
  </conditionalFormatting>
  <conditionalFormatting sqref="D150">
    <cfRule type="cellIs" dxfId="48" priority="80" operator="equal">
      <formula>"N"</formula>
    </cfRule>
  </conditionalFormatting>
  <conditionalFormatting sqref="H150">
    <cfRule type="cellIs" dxfId="47" priority="79" operator="notEqual">
      <formula>"A"</formula>
    </cfRule>
  </conditionalFormatting>
  <conditionalFormatting sqref="H413">
    <cfRule type="cellIs" dxfId="46" priority="77" operator="notEqual">
      <formula>"A"</formula>
    </cfRule>
  </conditionalFormatting>
  <conditionalFormatting sqref="D413">
    <cfRule type="cellIs" dxfId="45" priority="76" operator="equal">
      <formula>"N"</formula>
    </cfRule>
  </conditionalFormatting>
  <conditionalFormatting sqref="D414">
    <cfRule type="cellIs" dxfId="44" priority="74" operator="equal">
      <formula>"N"</formula>
    </cfRule>
  </conditionalFormatting>
  <conditionalFormatting sqref="H414">
    <cfRule type="cellIs" dxfId="43" priority="73" operator="notEqual">
      <formula>"A"</formula>
    </cfRule>
  </conditionalFormatting>
  <conditionalFormatting sqref="D599">
    <cfRule type="cellIs" dxfId="42" priority="70" operator="equal">
      <formula>"N"</formula>
    </cfRule>
  </conditionalFormatting>
  <conditionalFormatting sqref="H415">
    <cfRule type="cellIs" dxfId="41" priority="68" operator="notEqual">
      <formula>"A"</formula>
    </cfRule>
  </conditionalFormatting>
  <conditionalFormatting sqref="D415">
    <cfRule type="cellIs" dxfId="40" priority="67" operator="equal">
      <formula>"N"</formula>
    </cfRule>
  </conditionalFormatting>
  <conditionalFormatting sqref="D417">
    <cfRule type="cellIs" dxfId="39" priority="66" operator="equal">
      <formula>"N"</formula>
    </cfRule>
  </conditionalFormatting>
  <conditionalFormatting sqref="H416">
    <cfRule type="cellIs" dxfId="38" priority="64" operator="notEqual">
      <formula>"A"</formula>
    </cfRule>
  </conditionalFormatting>
  <conditionalFormatting sqref="D416">
    <cfRule type="cellIs" dxfId="37" priority="63" operator="equal">
      <formula>"N"</formula>
    </cfRule>
  </conditionalFormatting>
  <conditionalFormatting sqref="H331">
    <cfRule type="cellIs" dxfId="36" priority="61" operator="notEqual">
      <formula>"A"</formula>
    </cfRule>
  </conditionalFormatting>
  <conditionalFormatting sqref="H325">
    <cfRule type="cellIs" dxfId="35" priority="58" operator="notEqual">
      <formula>"A"</formula>
    </cfRule>
  </conditionalFormatting>
  <conditionalFormatting sqref="D325">
    <cfRule type="cellIs" dxfId="34" priority="57" operator="equal">
      <formula>"N"</formula>
    </cfRule>
  </conditionalFormatting>
  <conditionalFormatting sqref="H324">
    <cfRule type="cellIs" dxfId="33" priority="55" operator="notEqual">
      <formula>"A"</formula>
    </cfRule>
  </conditionalFormatting>
  <conditionalFormatting sqref="D324">
    <cfRule type="cellIs" dxfId="32" priority="54" operator="equal">
      <formula>"N"</formula>
    </cfRule>
  </conditionalFormatting>
  <conditionalFormatting sqref="H323">
    <cfRule type="cellIs" dxfId="31" priority="52" operator="notEqual">
      <formula>"A"</formula>
    </cfRule>
  </conditionalFormatting>
  <conditionalFormatting sqref="D323">
    <cfRule type="cellIs" dxfId="30" priority="51" operator="equal">
      <formula>"N"</formula>
    </cfRule>
  </conditionalFormatting>
  <conditionalFormatting sqref="H368">
    <cfRule type="cellIs" dxfId="29" priority="49" operator="notEqual">
      <formula>"A"</formula>
    </cfRule>
  </conditionalFormatting>
  <conditionalFormatting sqref="D368">
    <cfRule type="cellIs" dxfId="28" priority="48" operator="equal">
      <formula>"N"</formula>
    </cfRule>
  </conditionalFormatting>
  <conditionalFormatting sqref="H418">
    <cfRule type="cellIs" dxfId="27" priority="46" operator="notEqual">
      <formula>"A"</formula>
    </cfRule>
  </conditionalFormatting>
  <conditionalFormatting sqref="H419">
    <cfRule type="cellIs" dxfId="26" priority="44" operator="notEqual">
      <formula>"A"</formula>
    </cfRule>
  </conditionalFormatting>
  <conditionalFormatting sqref="D418:D419">
    <cfRule type="cellIs" dxfId="25" priority="42" operator="equal">
      <formula>"N"</formula>
    </cfRule>
  </conditionalFormatting>
  <conditionalFormatting sqref="H426">
    <cfRule type="cellIs" dxfId="24" priority="40" operator="notEqual">
      <formula>"A"</formula>
    </cfRule>
  </conditionalFormatting>
  <conditionalFormatting sqref="H420">
    <cfRule type="cellIs" dxfId="23" priority="37" operator="notEqual">
      <formula>"A"</formula>
    </cfRule>
  </conditionalFormatting>
  <conditionalFormatting sqref="H421">
    <cfRule type="cellIs" dxfId="22" priority="34" operator="notEqual">
      <formula>"A"</formula>
    </cfRule>
  </conditionalFormatting>
  <conditionalFormatting sqref="H422">
    <cfRule type="cellIs" dxfId="21" priority="31" operator="notEqual">
      <formula>"A"</formula>
    </cfRule>
  </conditionalFormatting>
  <conditionalFormatting sqref="D331">
    <cfRule type="cellIs" dxfId="20" priority="29" operator="equal">
      <formula>"N"</formula>
    </cfRule>
  </conditionalFormatting>
  <conditionalFormatting sqref="D420:D422 D426">
    <cfRule type="cellIs" dxfId="19" priority="28" operator="equal">
      <formula>"N"</formula>
    </cfRule>
  </conditionalFormatting>
  <conditionalFormatting sqref="H423">
    <cfRule type="cellIs" dxfId="18" priority="26" operator="notEqual">
      <formula>"A"</formula>
    </cfRule>
  </conditionalFormatting>
  <conditionalFormatting sqref="D423">
    <cfRule type="cellIs" dxfId="17" priority="25" operator="equal">
      <formula>"N"</formula>
    </cfRule>
  </conditionalFormatting>
  <conditionalFormatting sqref="H424">
    <cfRule type="cellIs" dxfId="16" priority="23" operator="notEqual">
      <formula>"A"</formula>
    </cfRule>
  </conditionalFormatting>
  <conditionalFormatting sqref="D424">
    <cfRule type="cellIs" dxfId="15" priority="22" operator="equal">
      <formula>"N"</formula>
    </cfRule>
  </conditionalFormatting>
  <conditionalFormatting sqref="H425">
    <cfRule type="cellIs" dxfId="14" priority="20" operator="notEqual">
      <formula>"A"</formula>
    </cfRule>
  </conditionalFormatting>
  <conditionalFormatting sqref="D425">
    <cfRule type="cellIs" dxfId="13" priority="19" operator="equal">
      <formula>"N"</formula>
    </cfRule>
  </conditionalFormatting>
  <conditionalFormatting sqref="H427">
    <cfRule type="cellIs" dxfId="12" priority="17" operator="notEqual">
      <formula>"A"</formula>
    </cfRule>
  </conditionalFormatting>
  <conditionalFormatting sqref="D427">
    <cfRule type="cellIs" dxfId="11" priority="15" operator="equal">
      <formula>"N"</formula>
    </cfRule>
  </conditionalFormatting>
  <conditionalFormatting sqref="H428">
    <cfRule type="cellIs" dxfId="10" priority="14" operator="notEqual">
      <formula>"A"</formula>
    </cfRule>
  </conditionalFormatting>
  <conditionalFormatting sqref="D428">
    <cfRule type="cellIs" dxfId="9" priority="13" operator="equal">
      <formula>"N"</formula>
    </cfRule>
  </conditionalFormatting>
  <conditionalFormatting sqref="D224">
    <cfRule type="cellIs" dxfId="8" priority="11" operator="equal">
      <formula>"N"</formula>
    </cfRule>
  </conditionalFormatting>
  <conditionalFormatting sqref="H224">
    <cfRule type="cellIs" dxfId="7" priority="10" operator="notEqual">
      <formula>"A"</formula>
    </cfRule>
  </conditionalFormatting>
  <conditionalFormatting sqref="D163">
    <cfRule type="cellIs" dxfId="6" priority="8" operator="equal">
      <formula>"N"</formula>
    </cfRule>
  </conditionalFormatting>
  <conditionalFormatting sqref="H163">
    <cfRule type="cellIs" dxfId="5" priority="7" operator="notEqual">
      <formula>"A"</formula>
    </cfRule>
  </conditionalFormatting>
  <conditionalFormatting sqref="D199">
    <cfRule type="cellIs" dxfId="4" priority="5" operator="equal">
      <formula>"N"</formula>
    </cfRule>
  </conditionalFormatting>
  <conditionalFormatting sqref="H199">
    <cfRule type="cellIs" dxfId="3" priority="4" operator="notEqual">
      <formula>"A"</formula>
    </cfRule>
  </conditionalFormatting>
  <conditionalFormatting sqref="D184:D188">
    <cfRule type="cellIs" dxfId="2" priority="2" operator="equal">
      <formula>"N"</formula>
    </cfRule>
  </conditionalFormatting>
  <conditionalFormatting sqref="H184:H188">
    <cfRule type="cellIs" dxfId="1" priority="1" operator="notEqual">
      <formula>"A"</formula>
    </cfRule>
  </conditionalFormatting>
  <conditionalFormatting sqref="A184:A188">
    <cfRule type="duplicateValues" dxfId="0" priority="3"/>
  </conditionalFormatting>
  <hyperlinks>
    <hyperlink ref="C298" r:id="rId1"/>
    <hyperlink ref="C297" r:id="rId2"/>
    <hyperlink ref="C244" r:id="rId3"/>
    <hyperlink ref="C243" r:id="rId4"/>
    <hyperlink ref="C241" r:id="rId5"/>
    <hyperlink ref="C296" r:id="rId6"/>
    <hyperlink ref="C242" r:id="rId7"/>
    <hyperlink ref="C266" r:id="rId8"/>
    <hyperlink ref="C589" r:id="rId9"/>
    <hyperlink ref="C239" r:id="rId10"/>
    <hyperlink ref="C227" r:id="rId11" display="John.Meredith@henryschein.ca"/>
    <hyperlink ref="C126" r:id="rId12" display="John.Luong@henryschein.ca"/>
    <hyperlink ref="C238" r:id="rId13"/>
    <hyperlink ref="C569" r:id="rId14"/>
    <hyperlink ref="C237" r:id="rId15"/>
    <hyperlink ref="C234" r:id="rId16"/>
    <hyperlink ref="C235" r:id="rId17"/>
    <hyperlink ref="C236" r:id="rId18"/>
    <hyperlink ref="C598" r:id="rId19"/>
    <hyperlink ref="C288" r:id="rId20"/>
    <hyperlink ref="C592" r:id="rId21"/>
    <hyperlink ref="C227" r:id="rId22"/>
    <hyperlink ref="C229" r:id="rId23"/>
    <hyperlink ref="C564" r:id="rId24"/>
    <hyperlink ref="C232" r:id="rId25"/>
    <hyperlink ref="C591" r:id="rId26"/>
    <hyperlink ref="C228" r:id="rId27"/>
    <hyperlink ref="C226" r:id="rId28"/>
    <hyperlink ref="C578" r:id="rId29"/>
    <hyperlink ref="C225" r:id="rId30"/>
    <hyperlink ref="C220" r:id="rId31"/>
    <hyperlink ref="C277" r:id="rId32"/>
    <hyperlink ref="C221" r:id="rId33"/>
    <hyperlink ref="C117" r:id="rId34"/>
    <hyperlink ref="C223" r:id="rId35"/>
    <hyperlink ref="C222" r:id="rId36"/>
    <hyperlink ref="C320" r:id="rId37"/>
    <hyperlink ref="C317" r:id="rId38"/>
    <hyperlink ref="C547" r:id="rId39"/>
    <hyperlink ref="C61" r:id="rId40"/>
    <hyperlink ref="C290" r:id="rId41"/>
    <hyperlink ref="C218" r:id="rId42"/>
    <hyperlink ref="C217" r:id="rId43"/>
    <hyperlink ref="C219" r:id="rId44"/>
    <hyperlink ref="C289" r:id="rId45"/>
    <hyperlink ref="C546" r:id="rId46"/>
    <hyperlink ref="C169" r:id="rId47"/>
    <hyperlink ref="C123" r:id="rId48"/>
    <hyperlink ref="C214" r:id="rId49"/>
    <hyperlink ref="C216" r:id="rId50"/>
    <hyperlink ref="C558" r:id="rId51" display="John.Luong@henryschein.ca"/>
    <hyperlink ref="C574" r:id="rId52"/>
    <hyperlink ref="C287" r:id="rId53"/>
    <hyperlink ref="C286" r:id="rId54"/>
    <hyperlink ref="C541" r:id="rId55"/>
    <hyperlink ref="C143" r:id="rId56"/>
    <hyperlink ref="C285" r:id="rId57"/>
    <hyperlink ref="C215" r:id="rId58"/>
    <hyperlink ref="C213" r:id="rId59"/>
    <hyperlink ref="C603" r:id="rId60"/>
    <hyperlink ref="C536" r:id="rId61"/>
    <hyperlink ref="C284" r:id="rId62"/>
    <hyperlink ref="C560" r:id="rId63"/>
    <hyperlink ref="C283" r:id="rId64"/>
    <hyperlink ref="C545" r:id="rId65"/>
    <hyperlink ref="C282" r:id="rId66"/>
    <hyperlink ref="C119" r:id="rId67"/>
    <hyperlink ref="C212" r:id="rId68"/>
    <hyperlink ref="C75" r:id="rId69"/>
    <hyperlink ref="C280" r:id="rId70"/>
    <hyperlink ref="C200" r:id="rId71"/>
    <hyperlink ref="C195" r:id="rId72"/>
    <hyperlink ref="C183" r:id="rId73"/>
    <hyperlink ref="C269" r:id="rId74"/>
    <hyperlink ref="C563" r:id="rId75"/>
    <hyperlink ref="C332" r:id="rId76"/>
    <hyperlink ref="C281" r:id="rId77"/>
    <hyperlink ref="C210" r:id="rId78"/>
    <hyperlink ref="C211" r:id="rId79"/>
    <hyperlink ref="C416" r:id="rId80"/>
    <hyperlink ref="C122" r:id="rId81"/>
    <hyperlink ref="C508" r:id="rId82" display="John.Luong@henryschein.ca"/>
    <hyperlink ref="C495" r:id="rId83"/>
    <hyperlink ref="C279" r:id="rId84"/>
    <hyperlink ref="C570" r:id="rId85"/>
    <hyperlink ref="C208" r:id="rId86"/>
    <hyperlink ref="C278" r:id="rId87"/>
    <hyperlink ref="C275" r:id="rId88"/>
    <hyperlink ref="C553" r:id="rId89"/>
    <hyperlink ref="C206" r:id="rId90"/>
    <hyperlink ref="C509" r:id="rId91"/>
    <hyperlink ref="C276" r:id="rId92"/>
    <hyperlink ref="C491" r:id="rId93"/>
    <hyperlink ref="C207" r:id="rId94"/>
    <hyperlink ref="C274" r:id="rId95"/>
    <hyperlink ref="C506" r:id="rId96"/>
    <hyperlink ref="C394" r:id="rId97" display="John.Luong@henryschein.ca"/>
    <hyperlink ref="C552" r:id="rId98" display="John.Luong@henryschein.ca"/>
    <hyperlink ref="C551" r:id="rId99" display="John.Luong@henryschein.ca"/>
    <hyperlink ref="C593" r:id="rId100" display="John.Luong@henryschein.ca"/>
    <hyperlink ref="C112" r:id="rId101" display="John.Luong@henryschein.ca"/>
    <hyperlink ref="C376" r:id="rId102" display="John.Luong@henryschein.ca"/>
    <hyperlink ref="C358" r:id="rId103" display="John.Luong@henryschein.ca"/>
    <hyperlink ref="C54" r:id="rId104" display="John.Luong@henryschein.ca"/>
    <hyperlink ref="C89" r:id="rId105" display="John.Luong@henryschein.ca"/>
    <hyperlink ref="C357" r:id="rId106" display="John.Luong@henryschein.ca"/>
    <hyperlink ref="C557" r:id="rId107" display="John.Luong@henryschein.ca"/>
    <hyperlink ref="C125" r:id="rId108" display="John.Luong@henryschein.ca"/>
    <hyperlink ref="C597" r:id="rId109" display="John.Luong@henryschein.ca"/>
    <hyperlink ref="C127" r:id="rId110" display="John.Luong@henryschein.ca"/>
    <hyperlink ref="C160" r:id="rId111" display="John.Luong@henryschein.ca"/>
    <hyperlink ref="C386" r:id="rId112" display="John.Luong@henryschein.ca"/>
    <hyperlink ref="C387" r:id="rId113" display="John.Luong@henryschein.ca"/>
    <hyperlink ref="C45" r:id="rId114" display="John.Luong@henryschein.ca"/>
    <hyperlink ref="C205" r:id="rId115"/>
    <hyperlink ref="C204" r:id="rId116"/>
    <hyperlink ref="C577" r:id="rId117"/>
    <hyperlink ref="C542" r:id="rId118"/>
    <hyperlink ref="C377" r:id="rId119" display="John.Luong@henryschein.ca"/>
    <hyperlink ref="C203" r:id="rId120"/>
    <hyperlink ref="C271" r:id="rId121"/>
    <hyperlink ref="C202" r:id="rId122"/>
    <hyperlink ref="C272" r:id="rId123"/>
    <hyperlink ref="C587" r:id="rId124"/>
    <hyperlink ref="C273" r:id="rId125"/>
    <hyperlink ref="C562" r:id="rId126"/>
    <hyperlink ref="C13" r:id="rId127"/>
    <hyperlink ref="C196" r:id="rId128"/>
    <hyperlink ref="C496" r:id="rId129"/>
    <hyperlink ref="C544" r:id="rId130"/>
    <hyperlink ref="C503" r:id="rId131"/>
    <hyperlink ref="C201" r:id="rId132"/>
    <hyperlink ref="C482" r:id="rId133"/>
    <hyperlink ref="C99" r:id="rId134"/>
    <hyperlink ref="C198" r:id="rId135"/>
    <hyperlink ref="C270" r:id="rId136"/>
    <hyperlink ref="C121" r:id="rId137"/>
    <hyperlink ref="C479" r:id="rId138"/>
    <hyperlink ref="C110" r:id="rId139"/>
    <hyperlink ref="C485" r:id="rId140"/>
    <hyperlink ref="C62" r:id="rId141"/>
    <hyperlink ref="C268" r:id="rId142"/>
    <hyperlink ref="C501" r:id="rId143"/>
    <hyperlink ref="C197" r:id="rId144"/>
    <hyperlink ref="C264" r:id="rId145"/>
    <hyperlink ref="C477" r:id="rId146"/>
    <hyperlink ref="C516" r:id="rId147"/>
    <hyperlink ref="C512" r:id="rId148"/>
    <hyperlink ref="C515" r:id="rId149"/>
    <hyperlink ref="C518" r:id="rId150"/>
    <hyperlink ref="C511" r:id="rId151"/>
    <hyperlink ref="C514" r:id="rId152"/>
    <hyperlink ref="C519" r:id="rId153"/>
    <hyperlink ref="C510" r:id="rId154"/>
    <hyperlink ref="C522" r:id="rId155"/>
    <hyperlink ref="C520" r:id="rId156"/>
    <hyperlink ref="C521" r:id="rId157"/>
    <hyperlink ref="C524" r:id="rId158"/>
    <hyperlink ref="C490" r:id="rId159"/>
    <hyperlink ref="C523" r:id="rId160"/>
    <hyperlink ref="C27" r:id="rId161"/>
    <hyperlink ref="C492" r:id="rId162"/>
    <hyperlink ref="C473" r:id="rId163"/>
    <hyperlink ref="C513" r:id="rId164"/>
    <hyperlink ref="C517" r:id="rId165"/>
    <hyperlink ref="C267" r:id="rId166"/>
    <hyperlink ref="C500" r:id="rId167"/>
    <hyperlink ref="C507" r:id="rId168"/>
    <hyperlink ref="C535" r:id="rId169"/>
    <hyperlink ref="C554" r:id="rId170"/>
    <hyperlink ref="C85" r:id="rId171"/>
    <hyperlink ref="C265" r:id="rId172"/>
    <hyperlink ref="C194" r:id="rId173"/>
    <hyperlink ref="C90" r:id="rId174"/>
    <hyperlink ref="C406" r:id="rId175"/>
    <hyperlink ref="C556" r:id="rId176"/>
    <hyperlink ref="C182" r:id="rId177"/>
    <hyperlink ref="C453" r:id="rId178"/>
    <hyperlink ref="C181" r:id="rId179"/>
    <hyperlink ref="C462" r:id="rId180"/>
    <hyperlink ref="C120" r:id="rId181" display="Shannon.Arts@henryschein.ca"/>
    <hyperlink ref="C180" r:id="rId182"/>
    <hyperlink ref="C451" r:id="rId183"/>
    <hyperlink ref="C468" r:id="rId184"/>
    <hyperlink ref="C29" r:id="rId185"/>
    <hyperlink ref="C128" r:id="rId186"/>
    <hyperlink ref="C442" r:id="rId187"/>
    <hyperlink ref="C443" r:id="rId188"/>
    <hyperlink ref="C441" r:id="rId189"/>
    <hyperlink ref="C440" r:id="rId190"/>
    <hyperlink ref="C439" r:id="rId191"/>
    <hyperlink ref="C438" r:id="rId192"/>
    <hyperlink ref="C437" r:id="rId193"/>
    <hyperlink ref="C436" r:id="rId194"/>
    <hyperlink ref="C435" r:id="rId195"/>
    <hyperlink ref="C434" r:id="rId196"/>
    <hyperlink ref="C433" r:id="rId197"/>
    <hyperlink ref="C432" r:id="rId198"/>
    <hyperlink ref="C581" r:id="rId199"/>
    <hyperlink ref="C489" r:id="rId200"/>
    <hyperlink ref="C476" r:id="rId201"/>
    <hyperlink ref="C19" r:id="rId202"/>
    <hyperlink ref="C240" r:id="rId203"/>
    <hyperlink ref="C245" r:id="rId204"/>
    <hyperlink ref="C42" r:id="rId205"/>
    <hyperlink ref="C567" r:id="rId206"/>
    <hyperlink ref="C299" r:id="rId207"/>
    <hyperlink ref="C566" r:id="rId208"/>
    <hyperlink ref="C352" r:id="rId209"/>
    <hyperlink ref="C82" r:id="rId210"/>
    <hyperlink ref="C247" r:id="rId211"/>
    <hyperlink ref="C246" r:id="rId212"/>
    <hyperlink ref="C248" r:id="rId213"/>
    <hyperlink ref="C118" r:id="rId214"/>
    <hyperlink ref="C249" r:id="rId215"/>
    <hyperlink ref="C250" r:id="rId216"/>
    <hyperlink ref="C600" r:id="rId217"/>
    <hyperlink ref="C312" r:id="rId218"/>
    <hyperlink ref="C252" r:id="rId219"/>
    <hyperlink ref="C308" r:id="rId220"/>
    <hyperlink ref="C309" r:id="rId221"/>
    <hyperlink ref="C251" r:id="rId222"/>
    <hyperlink ref="C253" r:id="rId223"/>
    <hyperlink ref="C311" r:id="rId224"/>
    <hyperlink ref="C310" r:id="rId225"/>
    <hyperlink ref="C313" r:id="rId226"/>
    <hyperlink ref="C209" r:id="rId227"/>
    <hyperlink ref="C314" r:id="rId228"/>
    <hyperlink ref="C590" r:id="rId229"/>
    <hyperlink ref="C323" r:id="rId230"/>
    <hyperlink ref="C315" r:id="rId231"/>
    <hyperlink ref="C254" r:id="rId232"/>
    <hyperlink ref="C256" r:id="rId233"/>
    <hyperlink ref="C255" r:id="rId234"/>
    <hyperlink ref="C258" r:id="rId235"/>
    <hyperlink ref="C321" r:id="rId236"/>
    <hyperlink ref="C584" r:id="rId237"/>
    <hyperlink ref="C322" r:id="rId238"/>
    <hyperlink ref="C257" r:id="rId239"/>
    <hyperlink ref="C65" r:id="rId240"/>
    <hyperlink ref="C260" r:id="rId241"/>
    <hyperlink ref="C324" r:id="rId242"/>
    <hyperlink ref="C259" r:id="rId243"/>
    <hyperlink ref="C295" r:id="rId244"/>
    <hyperlink ref="C325" r:id="rId245"/>
    <hyperlink ref="C261" r:id="rId246"/>
    <hyperlink ref="C326" r:id="rId247"/>
    <hyperlink ref="C328" r:id="rId248"/>
    <hyperlink ref="C327" r:id="rId249"/>
    <hyperlink ref="C330" r:id="rId250"/>
    <hyperlink ref="C46" r:id="rId251" display="John.Luong@henryschein.ca"/>
    <hyperlink ref="C263" r:id="rId252"/>
    <hyperlink ref="C595" r:id="rId253"/>
    <hyperlink ref="C331" r:id="rId254"/>
    <hyperlink ref="C318" r:id="rId255"/>
    <hyperlink ref="C319" r:id="rId256"/>
    <hyperlink ref="C115" r:id="rId257" display="John.Luong@henryschein.ca"/>
    <hyperlink ref="C114" r:id="rId258" display="John.Luong@henryschein.ca"/>
    <hyperlink ref="C113" r:id="rId259" display="John.Luong@henryschein.ca"/>
    <hyperlink ref="C262" r:id="rId260"/>
    <hyperlink ref="C418" r:id="rId261"/>
    <hyperlink ref="C419" r:id="rId262"/>
    <hyperlink ref="C426" r:id="rId263"/>
    <hyperlink ref="C420" r:id="rId264"/>
    <hyperlink ref="C421" r:id="rId265"/>
    <hyperlink ref="C422" r:id="rId266"/>
    <hyperlink ref="C423" r:id="rId267"/>
    <hyperlink ref="C424" r:id="rId268"/>
    <hyperlink ref="C425" r:id="rId269"/>
    <hyperlink ref="C427" r:id="rId270"/>
    <hyperlink ref="C428" r:id="rId271"/>
    <hyperlink ref="C224" r:id="rId272"/>
    <hyperlink ref="C199" r:id="rId273"/>
    <hyperlink ref="C188" r:id="rId274" display="John.Luong@henryschein.ca"/>
    <hyperlink ref="C186" r:id="rId275" display="John.Luong@henryschein.ca"/>
    <hyperlink ref="C185" r:id="rId276" display="John.Luong@henryschein.ca"/>
    <hyperlink ref="C187" r:id="rId277" display="John.Luong@henryschein.ca"/>
    <hyperlink ref="C184" r:id="rId278" display="John.Luong@henryschein.ca"/>
  </hyperlinks>
  <pageMargins left="0.16" right="0.16" top="0.74803149606299213" bottom="0.74803149606299213" header="0.31496062992125984" footer="0.31496062992125984"/>
  <pageSetup scale="10" orientation="landscape" r:id="rId27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"/>
  <sheetViews>
    <sheetView tabSelected="1" topLeftCell="E1" workbookViewId="0">
      <selection activeCell="H5" sqref="H5"/>
    </sheetView>
  </sheetViews>
  <sheetFormatPr defaultRowHeight="14.4" x14ac:dyDescent="0.3"/>
  <cols>
    <col min="1" max="1" width="5.88671875" bestFit="1" customWidth="1"/>
    <col min="2" max="2" width="40.6640625" bestFit="1" customWidth="1"/>
    <col min="3" max="3" width="41.33203125" customWidth="1"/>
    <col min="4" max="4" width="16.44140625" customWidth="1"/>
    <col min="5" max="5" width="39.5546875" bestFit="1" customWidth="1"/>
    <col min="6" max="6" width="37" bestFit="1" customWidth="1"/>
  </cols>
  <sheetData>
    <row r="1" spans="1:9" x14ac:dyDescent="0.3">
      <c r="A1" t="s">
        <v>11</v>
      </c>
      <c r="B1" t="s">
        <v>12</v>
      </c>
      <c r="C1" t="s">
        <v>13</v>
      </c>
      <c r="D1" t="s">
        <v>11</v>
      </c>
      <c r="E1" t="s">
        <v>14</v>
      </c>
      <c r="F1" t="s">
        <v>15</v>
      </c>
    </row>
    <row r="2" spans="1:9" x14ac:dyDescent="0.3">
      <c r="B2" t="s">
        <v>2398</v>
      </c>
      <c r="C2" t="str">
        <f>C3</f>
        <v>msg</v>
      </c>
      <c r="E2" t="str">
        <f>E3</f>
        <v>flag</v>
      </c>
      <c r="F2" t="str">
        <f>F3</f>
        <v>count</v>
      </c>
    </row>
    <row r="3" spans="1:9" x14ac:dyDescent="0.3">
      <c r="A3" t="s">
        <v>3873</v>
      </c>
      <c r="B3" t="s">
        <v>3874</v>
      </c>
      <c r="C3" t="s">
        <v>13</v>
      </c>
      <c r="D3" t="s">
        <v>3875</v>
      </c>
      <c r="E3" t="s">
        <v>3876</v>
      </c>
      <c r="F3" t="s">
        <v>3877</v>
      </c>
      <c r="G3" t="s">
        <v>3878</v>
      </c>
      <c r="H3" t="s">
        <v>3879</v>
      </c>
      <c r="I3" t="s">
        <v>3880</v>
      </c>
    </row>
    <row r="4" spans="1:9" x14ac:dyDescent="0.3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</row>
    <row r="5" spans="1:9" x14ac:dyDescent="0.3">
      <c r="A5" t="s">
        <v>213</v>
      </c>
      <c r="B5" s="67" t="s">
        <v>3881</v>
      </c>
      <c r="C5" t="s">
        <v>3882</v>
      </c>
      <c r="D5" s="67" t="s">
        <v>3883</v>
      </c>
      <c r="E5" t="s">
        <v>3884</v>
      </c>
      <c r="F5" s="67" t="s">
        <v>3885</v>
      </c>
      <c r="G5" t="s">
        <v>3886</v>
      </c>
      <c r="H5" s="67" t="s">
        <v>3887</v>
      </c>
      <c r="I5" t="s">
        <v>3888</v>
      </c>
    </row>
  </sheetData>
  <hyperlinks>
    <hyperlink ref="B2" r:id="rId1"/>
    <hyperlink ref="B5" r:id="rId2" display="BusinessReporting.Canada@henryschein.ca"/>
    <hyperlink ref="A:A1" r:id="rId3" display="BusinessReporting.Canada@henryschein.ca"/>
    <hyperlink ref="D5" r:id="rId4" display="BusinessReporting.Canada@henryschein.ca"/>
    <hyperlink ref="F5" r:id="rId5" display="BusinessReporting.Canada@henryschein.ca"/>
    <hyperlink ref="H5" r:id="rId6" display="BusinessReporting.Canada@henryschein.ca"/>
  </hyperlinks>
  <pageMargins left="0.7" right="0.7" top="0.75" bottom="0.75" header="0.3" footer="0.3"/>
  <pageSetup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1"/>
  <sheetViews>
    <sheetView topLeftCell="A19" workbookViewId="0">
      <selection activeCell="A29" sqref="A29"/>
    </sheetView>
  </sheetViews>
  <sheetFormatPr defaultRowHeight="14.4" x14ac:dyDescent="0.3"/>
  <cols>
    <col min="1" max="1" width="12.109375" customWidth="1"/>
    <col min="2" max="2" width="12.33203125" customWidth="1"/>
    <col min="3" max="3" width="43.33203125" bestFit="1" customWidth="1"/>
    <col min="4" max="4" width="32.6640625" bestFit="1" customWidth="1"/>
    <col min="5" max="5" width="32" customWidth="1"/>
    <col min="6" max="6" width="7.109375" bestFit="1" customWidth="1"/>
    <col min="7" max="7" width="24.5546875" bestFit="1" customWidth="1"/>
    <col min="8" max="8" width="7.88671875" customWidth="1"/>
    <col min="9" max="9" width="7.109375" bestFit="1" customWidth="1"/>
    <col min="10" max="10" width="17.44140625" bestFit="1" customWidth="1"/>
    <col min="11" max="11" width="7.88671875" customWidth="1"/>
    <col min="12" max="12" width="10.33203125" customWidth="1"/>
  </cols>
  <sheetData>
    <row r="1" spans="1:4" x14ac:dyDescent="0.3">
      <c r="A1" t="s">
        <v>8</v>
      </c>
      <c r="B1" s="2">
        <v>40799</v>
      </c>
      <c r="D1" s="17" t="str">
        <f>'Email Master'!E4</f>
        <v>MNGR Top 15</v>
      </c>
    </row>
    <row r="2" spans="1:4" ht="2.25" customHeight="1" x14ac:dyDescent="0.3"/>
    <row r="3" spans="1:4" s="10" customFormat="1" ht="2.25" customHeight="1" x14ac:dyDescent="0.3">
      <c r="A3" s="32"/>
      <c r="C3" s="33"/>
    </row>
    <row r="4" spans="1:4" s="10" customFormat="1" ht="2.25" customHeight="1" x14ac:dyDescent="0.3">
      <c r="A4" s="32"/>
      <c r="B4" s="34"/>
      <c r="C4" s="33"/>
    </row>
    <row r="5" spans="1:4" s="10" customFormat="1" ht="2.25" customHeight="1" x14ac:dyDescent="0.3">
      <c r="A5" s="32"/>
      <c r="B5" s="35"/>
    </row>
    <row r="6" spans="1:4" s="10" customFormat="1" ht="2.25" customHeight="1" x14ac:dyDescent="0.3">
      <c r="A6" s="32"/>
      <c r="B6" s="35"/>
    </row>
    <row r="7" spans="1:4" ht="2.25" customHeight="1" x14ac:dyDescent="0.3"/>
    <row r="8" spans="1:4" x14ac:dyDescent="0.3">
      <c r="A8" t="s">
        <v>238</v>
      </c>
      <c r="B8" t="str">
        <f>VLOOKUP('Email Master'!$C$4,Working!$A$23:$L$52,Working!$C$21,0)</f>
        <v>FSC Top 15 Summary for March 2017</v>
      </c>
    </row>
    <row r="9" spans="1:4" x14ac:dyDescent="0.3">
      <c r="A9" t="s">
        <v>27</v>
      </c>
      <c r="B9" t="str">
        <f>VLOOKUP('Email Master'!$C$4,Working!$A$23:$L$52,Working!$E$21,0)</f>
        <v>Jennifer.Li@Henryschein.ca</v>
      </c>
    </row>
    <row r="10" spans="1:4" x14ac:dyDescent="0.3">
      <c r="A10" t="s">
        <v>16</v>
      </c>
      <c r="B10" t="str">
        <f>VLOOKUP('Email Master'!$C$4,Working!$A$23:$L$52,Working!$D$21,0)</f>
        <v>config_ETU_MNG_Top_15.xml</v>
      </c>
    </row>
    <row r="11" spans="1:4" x14ac:dyDescent="0.3">
      <c r="A11" t="s">
        <v>229</v>
      </c>
      <c r="B11" t="str">
        <f>VLOOKUP('Email Master'!$C$4,Working!$A$23:$L$52,Working!$G$21,0)</f>
        <v>Top15</v>
      </c>
    </row>
    <row r="12" spans="1:4" x14ac:dyDescent="0.3">
      <c r="A12" t="s">
        <v>236</v>
      </c>
      <c r="B12" t="str">
        <f>VLOOKUP('Email Master'!$C$4,Working!$A$23:$L$52,Working!$H$21,0)</f>
        <v>.xlsx</v>
      </c>
    </row>
    <row r="13" spans="1:4" x14ac:dyDescent="0.3">
      <c r="A13" t="s">
        <v>230</v>
      </c>
      <c r="B13">
        <f>VLOOKUP('Email Master'!$C$4,Working!$A$23:$L$52,Working!$J$21,0)</f>
        <v>0</v>
      </c>
    </row>
    <row r="14" spans="1:4" x14ac:dyDescent="0.3">
      <c r="A14" t="s">
        <v>239</v>
      </c>
      <c r="B14">
        <f>VLOOKUP('Email Master'!$C$4,Working!$A$23:$L$52,Working!$K$21,0)</f>
        <v>0</v>
      </c>
    </row>
    <row r="15" spans="1:4" x14ac:dyDescent="0.3">
      <c r="A15" t="s">
        <v>564</v>
      </c>
      <c r="B15" t="str">
        <f>VLOOKUP('Email Master'!$C$4,Working!$A$23:$L$52,Working!$L$21,0)</f>
        <v>W</v>
      </c>
    </row>
    <row r="16" spans="1:4" x14ac:dyDescent="0.3">
      <c r="B16" s="4"/>
    </row>
    <row r="17" spans="1:12" x14ac:dyDescent="0.3">
      <c r="A17" s="3" t="s">
        <v>10</v>
      </c>
    </row>
    <row r="21" spans="1:12" x14ac:dyDescent="0.3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2" spans="1:12" ht="43.2" x14ac:dyDescent="0.3">
      <c r="A22" s="12" t="s">
        <v>561</v>
      </c>
      <c r="B22" s="12" t="s">
        <v>562</v>
      </c>
      <c r="C22" s="12" t="s">
        <v>22</v>
      </c>
      <c r="D22" s="12" t="s">
        <v>23</v>
      </c>
      <c r="E22" s="12" t="s">
        <v>24</v>
      </c>
      <c r="F22" s="12" t="s">
        <v>2368</v>
      </c>
      <c r="G22" s="12" t="s">
        <v>231</v>
      </c>
      <c r="H22" s="12" t="s">
        <v>234</v>
      </c>
      <c r="I22" s="12" t="s">
        <v>2369</v>
      </c>
      <c r="J22" s="12" t="s">
        <v>232</v>
      </c>
      <c r="K22" s="12" t="s">
        <v>237</v>
      </c>
      <c r="L22" s="12" t="s">
        <v>574</v>
      </c>
    </row>
    <row r="23" spans="1:12" x14ac:dyDescent="0.3">
      <c r="A23" s="4">
        <v>1</v>
      </c>
      <c r="B23" t="s">
        <v>19</v>
      </c>
      <c r="C23" t="str">
        <f>"Weekly FSC Sales as of "&amp;TEXT('Email Master'!$C$6,"mmm dd/yy")</f>
        <v>Weekly FSC Sales as of Mar 01/17</v>
      </c>
      <c r="D23" t="s">
        <v>2578</v>
      </c>
      <c r="E23" t="s">
        <v>25</v>
      </c>
      <c r="F23" s="4" t="s">
        <v>599</v>
      </c>
      <c r="G23" t="s">
        <v>233</v>
      </c>
      <c r="H23" t="s">
        <v>235</v>
      </c>
      <c r="I23" s="4" t="s">
        <v>599</v>
      </c>
      <c r="J23" t="s">
        <v>2519</v>
      </c>
      <c r="K23" t="s">
        <v>2520</v>
      </c>
      <c r="L23" t="s">
        <v>563</v>
      </c>
    </row>
    <row r="24" spans="1:12" x14ac:dyDescent="0.3">
      <c r="A24" s="4">
        <v>2</v>
      </c>
      <c r="B24" t="s">
        <v>20</v>
      </c>
      <c r="C24" t="str">
        <f>"Commission Summary and Details for "&amp;TEXT('Email Master'!$C$6,"MMMM YYYY")</f>
        <v>Commission Summary and Details for March 2017</v>
      </c>
      <c r="D24" t="s">
        <v>2579</v>
      </c>
      <c r="E24" t="s">
        <v>26</v>
      </c>
      <c r="F24" s="4" t="s">
        <v>599</v>
      </c>
      <c r="G24" t="s">
        <v>240</v>
      </c>
      <c r="H24" t="s">
        <v>235</v>
      </c>
      <c r="I24" s="4" t="s">
        <v>599</v>
      </c>
      <c r="J24" t="s">
        <v>241</v>
      </c>
      <c r="K24" t="s">
        <v>235</v>
      </c>
      <c r="L24" t="s">
        <v>592</v>
      </c>
    </row>
    <row r="25" spans="1:12" x14ac:dyDescent="0.3">
      <c r="A25" s="4">
        <v>3</v>
      </c>
      <c r="B25" t="s">
        <v>21</v>
      </c>
      <c r="C25" t="str">
        <f>"EST Commission Summary for "&amp;TEXT('Email Master'!$C$6,"MMMM YYYY")</f>
        <v>EST Commission Summary for March 2017</v>
      </c>
      <c r="D25" t="s">
        <v>2581</v>
      </c>
      <c r="E25" t="s">
        <v>26</v>
      </c>
      <c r="F25" s="4" t="s">
        <v>599</v>
      </c>
      <c r="G25" t="s">
        <v>612</v>
      </c>
      <c r="H25" t="s">
        <v>235</v>
      </c>
      <c r="I25" s="4" t="s">
        <v>565</v>
      </c>
      <c r="L25" t="s">
        <v>593</v>
      </c>
    </row>
    <row r="26" spans="1:12" x14ac:dyDescent="0.3">
      <c r="A26" s="4">
        <v>4</v>
      </c>
      <c r="B26" t="s">
        <v>3026</v>
      </c>
      <c r="C26" t="s">
        <v>2565</v>
      </c>
      <c r="D26" t="s">
        <v>2517</v>
      </c>
      <c r="E26" t="s">
        <v>2566</v>
      </c>
      <c r="F26" s="4" t="s">
        <v>599</v>
      </c>
      <c r="G26" t="s">
        <v>2518</v>
      </c>
      <c r="H26" t="s">
        <v>235</v>
      </c>
      <c r="I26" s="4" t="s">
        <v>599</v>
      </c>
      <c r="J26" t="s">
        <v>2518</v>
      </c>
      <c r="K26" t="s">
        <v>235</v>
      </c>
      <c r="L26" t="s">
        <v>594</v>
      </c>
    </row>
    <row r="27" spans="1:12" x14ac:dyDescent="0.3">
      <c r="A27" s="4">
        <v>5</v>
      </c>
      <c r="B27" t="s">
        <v>591</v>
      </c>
      <c r="C27" t="s">
        <v>2576</v>
      </c>
      <c r="D27" t="s">
        <v>2580</v>
      </c>
      <c r="E27" t="s">
        <v>25</v>
      </c>
      <c r="F27" s="4" t="s">
        <v>599</v>
      </c>
      <c r="G27" t="s">
        <v>2575</v>
      </c>
      <c r="H27" t="s">
        <v>235</v>
      </c>
      <c r="I27" s="4" t="s">
        <v>565</v>
      </c>
      <c r="L27" t="s">
        <v>595</v>
      </c>
    </row>
    <row r="28" spans="1:12" x14ac:dyDescent="0.3">
      <c r="A28" s="4">
        <v>6</v>
      </c>
      <c r="B28" t="s">
        <v>2587</v>
      </c>
      <c r="C28" t="str">
        <f>"Weekly FSC Sales as of "&amp;TEXT('Email Master'!$C$6,"mmm dd/yy")</f>
        <v>Weekly FSC Sales as of Mar 01/17</v>
      </c>
      <c r="D28" t="s">
        <v>2588</v>
      </c>
      <c r="E28" t="s">
        <v>25</v>
      </c>
      <c r="F28" s="4" t="s">
        <v>599</v>
      </c>
      <c r="G28" t="s">
        <v>2865</v>
      </c>
      <c r="H28" t="s">
        <v>235</v>
      </c>
      <c r="I28" s="4" t="s">
        <v>565</v>
      </c>
      <c r="L28" t="s">
        <v>244</v>
      </c>
    </row>
    <row r="29" spans="1:12" x14ac:dyDescent="0.3">
      <c r="A29" s="4">
        <v>7</v>
      </c>
      <c r="B29" t="s">
        <v>2791</v>
      </c>
      <c r="C29" t="str">
        <f>"FSC Top 15 Summary for "&amp;TEXT('Email Master'!$C$6,"MMMM YYYY")</f>
        <v>FSC Top 15 Summary for March 2017</v>
      </c>
      <c r="D29" t="s">
        <v>2790</v>
      </c>
      <c r="E29" t="s">
        <v>2566</v>
      </c>
      <c r="F29" s="4" t="s">
        <v>599</v>
      </c>
      <c r="G29" t="s">
        <v>2789</v>
      </c>
      <c r="H29" t="s">
        <v>235</v>
      </c>
      <c r="I29" s="4" t="s">
        <v>599</v>
      </c>
      <c r="J29" t="s">
        <v>2789</v>
      </c>
      <c r="K29" t="s">
        <v>2520</v>
      </c>
      <c r="L29" t="s">
        <v>596</v>
      </c>
    </row>
    <row r="30" spans="1:12" x14ac:dyDescent="0.3">
      <c r="A30" s="4">
        <v>8</v>
      </c>
      <c r="B30" t="s">
        <v>3297</v>
      </c>
      <c r="C30" t="str">
        <f>"GP comparison Statement sent of behalf of your Branch Manager, for "&amp;TEXT('Email Master'!$C$6,"MMMM YYYY")</f>
        <v>GP comparison Statement sent of behalf of your Branch Manager, for March 2017</v>
      </c>
      <c r="D30" t="s">
        <v>3298</v>
      </c>
      <c r="E30" t="s">
        <v>26</v>
      </c>
      <c r="F30" s="4" t="s">
        <v>599</v>
      </c>
      <c r="G30" t="s">
        <v>3299</v>
      </c>
      <c r="H30" t="s">
        <v>235</v>
      </c>
      <c r="I30" s="4" t="s">
        <v>565</v>
      </c>
      <c r="L30" t="s">
        <v>597</v>
      </c>
    </row>
    <row r="31" spans="1:12" x14ac:dyDescent="0.3">
      <c r="A31" s="4">
        <v>9</v>
      </c>
      <c r="B31" t="s">
        <v>2848</v>
      </c>
      <c r="C31" t="str">
        <f>"FSC Top 15 Summary for "&amp;TEXT('Email Master'!$C$6,"MMMM YYYY")</f>
        <v>FSC Top 15 Summary for March 2017</v>
      </c>
      <c r="D31" t="s">
        <v>2849</v>
      </c>
      <c r="E31" t="s">
        <v>2566</v>
      </c>
      <c r="F31" s="4" t="s">
        <v>599</v>
      </c>
      <c r="G31" t="s">
        <v>2789</v>
      </c>
      <c r="H31" t="s">
        <v>2520</v>
      </c>
      <c r="I31" s="4" t="s">
        <v>565</v>
      </c>
      <c r="L31" t="s">
        <v>598</v>
      </c>
    </row>
    <row r="32" spans="1:12" x14ac:dyDescent="0.3">
      <c r="A32" s="4">
        <v>10</v>
      </c>
      <c r="B32" t="s">
        <v>591</v>
      </c>
      <c r="F32" s="4"/>
      <c r="I32" s="4"/>
      <c r="L32" t="s">
        <v>228</v>
      </c>
    </row>
    <row r="33" spans="1:12" x14ac:dyDescent="0.3">
      <c r="A33" s="4">
        <v>11</v>
      </c>
      <c r="B33" t="s">
        <v>591</v>
      </c>
      <c r="F33" s="4"/>
      <c r="I33" s="4"/>
      <c r="L33" t="s">
        <v>599</v>
      </c>
    </row>
    <row r="34" spans="1:12" x14ac:dyDescent="0.3">
      <c r="A34" s="4">
        <v>12</v>
      </c>
      <c r="B34" t="s">
        <v>591</v>
      </c>
      <c r="F34" s="4"/>
      <c r="I34" s="4"/>
      <c r="L34" t="s">
        <v>600</v>
      </c>
    </row>
    <row r="35" spans="1:12" x14ac:dyDescent="0.3">
      <c r="A35" s="4">
        <v>13</v>
      </c>
      <c r="B35" t="s">
        <v>591</v>
      </c>
      <c r="F35" s="4"/>
      <c r="I35" s="4"/>
      <c r="L35" t="s">
        <v>575</v>
      </c>
    </row>
    <row r="36" spans="1:12" x14ac:dyDescent="0.3">
      <c r="A36" s="4">
        <v>14</v>
      </c>
      <c r="B36" t="s">
        <v>591</v>
      </c>
      <c r="F36" s="4"/>
      <c r="I36" s="4"/>
      <c r="L36" t="s">
        <v>601</v>
      </c>
    </row>
    <row r="37" spans="1:12" x14ac:dyDescent="0.3">
      <c r="A37" s="4">
        <v>15</v>
      </c>
      <c r="B37" t="s">
        <v>591</v>
      </c>
      <c r="F37" s="4"/>
      <c r="I37" s="4"/>
      <c r="L37" t="s">
        <v>576</v>
      </c>
    </row>
    <row r="38" spans="1:12" x14ac:dyDescent="0.3">
      <c r="A38" s="4">
        <v>16</v>
      </c>
      <c r="B38" t="s">
        <v>591</v>
      </c>
      <c r="F38" s="4"/>
      <c r="I38" s="4"/>
      <c r="L38" t="s">
        <v>602</v>
      </c>
    </row>
    <row r="39" spans="1:12" x14ac:dyDescent="0.3">
      <c r="A39" s="4">
        <v>17</v>
      </c>
      <c r="B39" t="s">
        <v>591</v>
      </c>
      <c r="F39" s="4"/>
      <c r="I39" s="4"/>
      <c r="L39" t="s">
        <v>577</v>
      </c>
    </row>
    <row r="40" spans="1:12" x14ac:dyDescent="0.3">
      <c r="A40" s="4">
        <v>18</v>
      </c>
      <c r="B40" t="s">
        <v>591</v>
      </c>
      <c r="F40" s="4"/>
      <c r="I40" s="4"/>
      <c r="L40" t="s">
        <v>603</v>
      </c>
    </row>
    <row r="41" spans="1:12" x14ac:dyDescent="0.3">
      <c r="A41" s="4">
        <v>19</v>
      </c>
      <c r="B41" t="s">
        <v>591</v>
      </c>
      <c r="F41" s="4"/>
      <c r="I41" s="4"/>
      <c r="L41" t="s">
        <v>578</v>
      </c>
    </row>
    <row r="42" spans="1:12" x14ac:dyDescent="0.3">
      <c r="A42" s="4">
        <v>20</v>
      </c>
      <c r="B42" t="s">
        <v>591</v>
      </c>
      <c r="F42" s="4"/>
      <c r="I42" s="4"/>
      <c r="L42" t="s">
        <v>604</v>
      </c>
    </row>
    <row r="43" spans="1:12" x14ac:dyDescent="0.3">
      <c r="A43" s="4">
        <v>21</v>
      </c>
      <c r="B43" t="s">
        <v>591</v>
      </c>
      <c r="F43" s="4"/>
      <c r="I43" s="4"/>
      <c r="L43" t="s">
        <v>579</v>
      </c>
    </row>
    <row r="44" spans="1:12" x14ac:dyDescent="0.3">
      <c r="A44" s="4">
        <v>22</v>
      </c>
      <c r="B44" t="s">
        <v>591</v>
      </c>
      <c r="F44" s="4"/>
      <c r="I44" s="4"/>
      <c r="L44" t="s">
        <v>605</v>
      </c>
    </row>
    <row r="45" spans="1:12" x14ac:dyDescent="0.3">
      <c r="A45" s="4">
        <v>23</v>
      </c>
      <c r="B45" t="s">
        <v>591</v>
      </c>
      <c r="F45" s="4"/>
      <c r="I45" s="4"/>
      <c r="L45" t="s">
        <v>606</v>
      </c>
    </row>
    <row r="46" spans="1:12" x14ac:dyDescent="0.3">
      <c r="A46" s="4">
        <v>24</v>
      </c>
      <c r="B46" t="s">
        <v>591</v>
      </c>
      <c r="F46" s="4"/>
      <c r="I46" s="4"/>
      <c r="L46" t="s">
        <v>607</v>
      </c>
    </row>
    <row r="47" spans="1:12" x14ac:dyDescent="0.3">
      <c r="A47" s="4">
        <v>25</v>
      </c>
      <c r="B47" t="s">
        <v>591</v>
      </c>
      <c r="F47" s="4"/>
      <c r="I47" s="4"/>
      <c r="L47" t="s">
        <v>608</v>
      </c>
    </row>
    <row r="48" spans="1:12" x14ac:dyDescent="0.3">
      <c r="A48" s="4">
        <v>26</v>
      </c>
      <c r="B48" t="s">
        <v>591</v>
      </c>
      <c r="F48" s="4"/>
      <c r="I48" s="4"/>
      <c r="L48" t="s">
        <v>609</v>
      </c>
    </row>
    <row r="49" spans="1:12" x14ac:dyDescent="0.3">
      <c r="A49" s="4">
        <v>27</v>
      </c>
      <c r="B49" t="s">
        <v>591</v>
      </c>
      <c r="F49" s="4"/>
      <c r="I49" s="4"/>
      <c r="L49" t="s">
        <v>610</v>
      </c>
    </row>
    <row r="50" spans="1:12" x14ac:dyDescent="0.3">
      <c r="A50" s="4">
        <v>28</v>
      </c>
      <c r="B50" t="s">
        <v>591</v>
      </c>
      <c r="F50" s="4"/>
      <c r="I50" s="4"/>
      <c r="L50" t="s">
        <v>611</v>
      </c>
    </row>
    <row r="51" spans="1:12" x14ac:dyDescent="0.3">
      <c r="A51" s="4">
        <v>29</v>
      </c>
      <c r="B51" t="s">
        <v>591</v>
      </c>
      <c r="F51" s="4"/>
      <c r="I51" s="4"/>
      <c r="L51" t="s">
        <v>2367</v>
      </c>
    </row>
    <row r="52" spans="1:12" x14ac:dyDescent="0.3">
      <c r="A52" s="18">
        <v>30</v>
      </c>
      <c r="B52" s="13" t="s">
        <v>591</v>
      </c>
      <c r="C52" s="13"/>
      <c r="D52" s="13"/>
      <c r="E52" s="13"/>
      <c r="F52" s="18"/>
      <c r="G52" s="13"/>
      <c r="H52" s="13"/>
      <c r="I52" s="18"/>
      <c r="J52" s="13"/>
      <c r="K52" s="13"/>
      <c r="L52" s="13" t="s">
        <v>2407</v>
      </c>
    </row>
    <row r="55" spans="1:12" x14ac:dyDescent="0.3">
      <c r="A55" s="14" t="s">
        <v>581</v>
      </c>
      <c r="B55" t="s">
        <v>566</v>
      </c>
    </row>
    <row r="56" spans="1:12" x14ac:dyDescent="0.3">
      <c r="B56" t="s">
        <v>583</v>
      </c>
    </row>
    <row r="57" spans="1:12" x14ac:dyDescent="0.3">
      <c r="B57" t="s">
        <v>584</v>
      </c>
    </row>
    <row r="58" spans="1:12" x14ac:dyDescent="0.3">
      <c r="B58" t="s">
        <v>585</v>
      </c>
    </row>
    <row r="59" spans="1:12" x14ac:dyDescent="0.3">
      <c r="B59" t="s">
        <v>586</v>
      </c>
    </row>
    <row r="60" spans="1:12" x14ac:dyDescent="0.3">
      <c r="B60" t="s">
        <v>587</v>
      </c>
    </row>
    <row r="61" spans="1:12" x14ac:dyDescent="0.3">
      <c r="B61" t="s">
        <v>580</v>
      </c>
    </row>
  </sheetData>
  <hyperlinks>
    <hyperlink ref="E26" r:id="rId1"/>
    <hyperlink ref="E29" r:id="rId2"/>
    <hyperlink ref="E31" r:id="rId3"/>
  </hyperlinks>
  <pageMargins left="0.37" right="0.21" top="0.75" bottom="0.75" header="0.3" footer="0.3"/>
  <pageSetup orientation="landscape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88"/>
  <sheetViews>
    <sheetView topLeftCell="A1084" workbookViewId="0">
      <selection activeCell="A1096" sqref="A1096"/>
    </sheetView>
  </sheetViews>
  <sheetFormatPr defaultColWidth="8" defaultRowHeight="12.75" customHeight="1" x14ac:dyDescent="0.3"/>
  <cols>
    <col min="1" max="1" width="7.33203125" style="36" customWidth="1"/>
    <col min="2" max="2" width="14.109375" style="36" bestFit="1" customWidth="1"/>
    <col min="3" max="3" width="18.109375" style="36" bestFit="1" customWidth="1"/>
    <col min="4" max="4" width="20.33203125" style="36" bestFit="1" customWidth="1"/>
    <col min="5" max="5" width="54.109375" style="36" bestFit="1" customWidth="1"/>
    <col min="6" max="6" width="23" style="36" bestFit="1" customWidth="1"/>
    <col min="7" max="7" width="8.6640625" style="36" bestFit="1" customWidth="1"/>
    <col min="8" max="256" width="6.88671875" style="36" customWidth="1"/>
    <col min="257" max="16384" width="8" style="36"/>
  </cols>
  <sheetData>
    <row r="1" spans="1:8" ht="14.4" x14ac:dyDescent="0.3">
      <c r="A1" s="36" t="s">
        <v>2958</v>
      </c>
      <c r="B1" s="58">
        <v>42698</v>
      </c>
    </row>
    <row r="2" spans="1:8" ht="13.5" customHeight="1" x14ac:dyDescent="0.3">
      <c r="A2" s="48" t="s">
        <v>2455</v>
      </c>
      <c r="B2" s="49" t="s">
        <v>2456</v>
      </c>
      <c r="C2" s="49" t="s">
        <v>2457</v>
      </c>
      <c r="D2" s="49" t="s">
        <v>2458</v>
      </c>
      <c r="E2" s="49" t="s">
        <v>2459</v>
      </c>
      <c r="F2" s="49" t="s">
        <v>2460</v>
      </c>
      <c r="G2" s="49" t="s">
        <v>2461</v>
      </c>
      <c r="H2" s="49" t="s">
        <v>614</v>
      </c>
    </row>
    <row r="3" spans="1:8" ht="14.4" x14ac:dyDescent="0.3">
      <c r="A3" s="50">
        <v>32</v>
      </c>
      <c r="B3" s="51">
        <v>20001140000</v>
      </c>
      <c r="C3" s="52" t="s">
        <v>1359</v>
      </c>
      <c r="D3" s="52" t="s">
        <v>1360</v>
      </c>
      <c r="E3" s="52" t="s">
        <v>3501</v>
      </c>
      <c r="F3" s="52" t="s">
        <v>656</v>
      </c>
      <c r="G3" s="52" t="s">
        <v>213</v>
      </c>
      <c r="H3" s="52">
        <v>1</v>
      </c>
    </row>
    <row r="4" spans="1:8" ht="14.4" x14ac:dyDescent="0.3">
      <c r="A4" s="50">
        <v>106</v>
      </c>
      <c r="B4" s="51">
        <v>20000680024</v>
      </c>
      <c r="C4" s="52" t="s">
        <v>1223</v>
      </c>
      <c r="D4" s="52" t="s">
        <v>672</v>
      </c>
      <c r="E4" s="52" t="s">
        <v>1224</v>
      </c>
      <c r="F4" s="52" t="s">
        <v>618</v>
      </c>
      <c r="G4" s="52" t="s">
        <v>244</v>
      </c>
      <c r="H4" s="52">
        <v>1</v>
      </c>
    </row>
    <row r="5" spans="1:8" ht="14.4" x14ac:dyDescent="0.3">
      <c r="A5" s="50">
        <v>205</v>
      </c>
      <c r="B5" s="51">
        <v>20000670023</v>
      </c>
      <c r="C5" s="52" t="s">
        <v>1215</v>
      </c>
      <c r="D5" s="52" t="s">
        <v>846</v>
      </c>
      <c r="E5" s="52" t="s">
        <v>2522</v>
      </c>
      <c r="F5" s="52" t="s">
        <v>618</v>
      </c>
      <c r="G5" s="52" t="s">
        <v>213</v>
      </c>
      <c r="H5" s="52">
        <v>1</v>
      </c>
    </row>
    <row r="6" spans="1:8" ht="14.4" x14ac:dyDescent="0.3">
      <c r="A6" s="50">
        <v>216</v>
      </c>
      <c r="B6" s="51">
        <v>20000630026</v>
      </c>
      <c r="C6" s="52" t="s">
        <v>3591</v>
      </c>
      <c r="D6" s="52" t="s">
        <v>857</v>
      </c>
      <c r="E6" s="52" t="s">
        <v>3071</v>
      </c>
      <c r="F6" s="52" t="s">
        <v>618</v>
      </c>
      <c r="G6" s="52" t="s">
        <v>213</v>
      </c>
      <c r="H6" s="52">
        <v>1</v>
      </c>
    </row>
    <row r="7" spans="1:8" ht="14.4" x14ac:dyDescent="0.3">
      <c r="A7" s="50">
        <v>218</v>
      </c>
      <c r="B7" s="51">
        <v>20001052065</v>
      </c>
      <c r="C7" s="52" t="s">
        <v>1488</v>
      </c>
      <c r="D7" s="52" t="s">
        <v>721</v>
      </c>
      <c r="E7" s="52" t="s">
        <v>3376</v>
      </c>
      <c r="F7" s="52" t="s">
        <v>628</v>
      </c>
      <c r="G7" s="52" t="s">
        <v>244</v>
      </c>
      <c r="H7" s="52">
        <v>1</v>
      </c>
    </row>
    <row r="8" spans="1:8" ht="14.4" x14ac:dyDescent="0.3">
      <c r="A8" s="50">
        <v>221</v>
      </c>
      <c r="B8" s="51">
        <v>20000860097</v>
      </c>
      <c r="C8" s="52" t="s">
        <v>1285</v>
      </c>
      <c r="D8" s="52" t="s">
        <v>1286</v>
      </c>
      <c r="E8" s="52" t="s">
        <v>1287</v>
      </c>
      <c r="F8" s="52" t="s">
        <v>618</v>
      </c>
      <c r="G8" s="52" t="s">
        <v>244</v>
      </c>
      <c r="H8" s="52">
        <v>0.8</v>
      </c>
    </row>
    <row r="9" spans="1:8" ht="14.4" x14ac:dyDescent="0.3">
      <c r="A9" s="50">
        <v>224</v>
      </c>
      <c r="B9" s="51">
        <v>20001140004</v>
      </c>
      <c r="C9" s="52" t="s">
        <v>1860</v>
      </c>
      <c r="D9" s="52" t="s">
        <v>844</v>
      </c>
      <c r="E9" s="52" t="s">
        <v>1426</v>
      </c>
      <c r="F9" s="52" t="s">
        <v>618</v>
      </c>
      <c r="G9" s="52" t="s">
        <v>244</v>
      </c>
      <c r="H9" s="52">
        <v>1</v>
      </c>
    </row>
    <row r="10" spans="1:8" ht="14.4" x14ac:dyDescent="0.3">
      <c r="A10" s="50">
        <v>225</v>
      </c>
      <c r="B10" s="51">
        <v>20000570009</v>
      </c>
      <c r="C10" s="52" t="s">
        <v>2523</v>
      </c>
      <c r="D10" s="52" t="s">
        <v>1042</v>
      </c>
      <c r="E10" s="52" t="s">
        <v>1043</v>
      </c>
      <c r="F10" s="52" t="s">
        <v>618</v>
      </c>
      <c r="G10" s="52" t="s">
        <v>244</v>
      </c>
      <c r="H10" s="52">
        <v>1</v>
      </c>
    </row>
    <row r="11" spans="1:8" ht="14.4" x14ac:dyDescent="0.3">
      <c r="A11" s="50">
        <v>228</v>
      </c>
      <c r="B11" s="51">
        <v>20000570009</v>
      </c>
      <c r="C11" s="52" t="s">
        <v>2441</v>
      </c>
      <c r="D11" s="52" t="s">
        <v>3638</v>
      </c>
      <c r="E11" s="52" t="s">
        <v>3057</v>
      </c>
      <c r="F11" s="52" t="s">
        <v>618</v>
      </c>
      <c r="G11" s="52" t="s">
        <v>244</v>
      </c>
      <c r="H11" s="52">
        <v>1</v>
      </c>
    </row>
    <row r="12" spans="1:8" ht="14.4" x14ac:dyDescent="0.3">
      <c r="A12" s="50">
        <v>232</v>
      </c>
      <c r="B12" s="51">
        <v>20000680024</v>
      </c>
      <c r="C12" s="52" t="s">
        <v>1240</v>
      </c>
      <c r="D12" s="52" t="s">
        <v>1241</v>
      </c>
      <c r="E12" s="52" t="s">
        <v>1242</v>
      </c>
      <c r="F12" s="52" t="s">
        <v>618</v>
      </c>
      <c r="G12" s="52" t="s">
        <v>244</v>
      </c>
      <c r="H12" s="52">
        <v>1</v>
      </c>
    </row>
    <row r="13" spans="1:8" ht="14.4" x14ac:dyDescent="0.3">
      <c r="A13" s="50">
        <v>234</v>
      </c>
      <c r="B13" s="51">
        <v>20000650027</v>
      </c>
      <c r="C13" s="52" t="s">
        <v>902</v>
      </c>
      <c r="D13" s="52" t="s">
        <v>1178</v>
      </c>
      <c r="E13" s="52" t="s">
        <v>3377</v>
      </c>
      <c r="F13" s="52" t="s">
        <v>618</v>
      </c>
      <c r="G13" s="52" t="s">
        <v>213</v>
      </c>
      <c r="H13" s="52">
        <v>1</v>
      </c>
    </row>
    <row r="14" spans="1:8" ht="14.4" x14ac:dyDescent="0.3">
      <c r="A14" s="50">
        <v>238</v>
      </c>
      <c r="B14" s="51">
        <v>20020040014</v>
      </c>
      <c r="C14" s="52" t="s">
        <v>2195</v>
      </c>
      <c r="D14" s="52" t="s">
        <v>2196</v>
      </c>
      <c r="E14" s="52" t="s">
        <v>2198</v>
      </c>
      <c r="F14" s="52" t="s">
        <v>618</v>
      </c>
      <c r="G14" s="52" t="s">
        <v>213</v>
      </c>
      <c r="H14" s="52">
        <v>1</v>
      </c>
    </row>
    <row r="15" spans="1:8" ht="14.4" x14ac:dyDescent="0.3">
      <c r="A15" s="50">
        <v>247</v>
      </c>
      <c r="B15" s="51">
        <v>20001150127</v>
      </c>
      <c r="C15" s="52" t="s">
        <v>1879</v>
      </c>
      <c r="D15" s="52" t="s">
        <v>1508</v>
      </c>
      <c r="E15" s="52" t="s">
        <v>3687</v>
      </c>
      <c r="F15" s="52" t="s">
        <v>618</v>
      </c>
      <c r="G15" s="52" t="s">
        <v>213</v>
      </c>
      <c r="H15" s="52">
        <v>1</v>
      </c>
    </row>
    <row r="16" spans="1:8" ht="14.4" x14ac:dyDescent="0.3">
      <c r="A16" s="50">
        <v>249</v>
      </c>
      <c r="B16" s="51">
        <v>20000330010</v>
      </c>
      <c r="C16" s="52" t="s">
        <v>867</v>
      </c>
      <c r="D16" s="52" t="s">
        <v>868</v>
      </c>
      <c r="E16" s="52" t="s">
        <v>663</v>
      </c>
      <c r="F16" s="52" t="s">
        <v>664</v>
      </c>
      <c r="G16" s="52" t="s">
        <v>244</v>
      </c>
      <c r="H16" s="52">
        <v>0.8</v>
      </c>
    </row>
    <row r="17" spans="1:8" ht="14.4" x14ac:dyDescent="0.3">
      <c r="A17" s="50">
        <v>253</v>
      </c>
      <c r="B17" s="51">
        <v>20000630026</v>
      </c>
      <c r="C17" s="52" t="s">
        <v>1143</v>
      </c>
      <c r="D17" s="52" t="s">
        <v>768</v>
      </c>
      <c r="E17" s="52" t="s">
        <v>1144</v>
      </c>
      <c r="F17" s="52" t="s">
        <v>618</v>
      </c>
      <c r="G17" s="52" t="s">
        <v>213</v>
      </c>
      <c r="H17" s="52">
        <v>1</v>
      </c>
    </row>
    <row r="18" spans="1:8" ht="14.4" x14ac:dyDescent="0.3">
      <c r="A18" s="50">
        <v>257</v>
      </c>
      <c r="B18" s="51">
        <v>20001102064</v>
      </c>
      <c r="C18" s="52" t="s">
        <v>1710</v>
      </c>
      <c r="D18" s="52" t="s">
        <v>855</v>
      </c>
      <c r="E18" s="52" t="s">
        <v>1031</v>
      </c>
      <c r="F18" s="52" t="s">
        <v>1441</v>
      </c>
      <c r="G18" s="52" t="s">
        <v>213</v>
      </c>
      <c r="H18" s="52">
        <v>0.5</v>
      </c>
    </row>
    <row r="19" spans="1:8" ht="14.4" x14ac:dyDescent="0.3">
      <c r="A19" s="50">
        <v>263</v>
      </c>
      <c r="B19" s="51">
        <v>20000830030</v>
      </c>
      <c r="C19" s="52" t="s">
        <v>1267</v>
      </c>
      <c r="D19" s="52" t="s">
        <v>675</v>
      </c>
      <c r="E19" s="52" t="s">
        <v>2468</v>
      </c>
      <c r="F19" s="52" t="s">
        <v>618</v>
      </c>
      <c r="G19" s="52" t="s">
        <v>213</v>
      </c>
      <c r="H19" s="52">
        <v>1</v>
      </c>
    </row>
    <row r="20" spans="1:8" ht="14.4" x14ac:dyDescent="0.3">
      <c r="A20" s="50">
        <v>264</v>
      </c>
      <c r="B20" s="51">
        <v>20000750022</v>
      </c>
      <c r="C20" s="52" t="s">
        <v>1246</v>
      </c>
      <c r="D20" s="52" t="s">
        <v>1247</v>
      </c>
      <c r="E20" s="52" t="s">
        <v>1248</v>
      </c>
      <c r="F20" s="52" t="s">
        <v>618</v>
      </c>
      <c r="G20" s="52" t="s">
        <v>213</v>
      </c>
      <c r="H20" s="52">
        <v>1</v>
      </c>
    </row>
    <row r="21" spans="1:8" ht="14.4" x14ac:dyDescent="0.3">
      <c r="A21" s="50">
        <v>265</v>
      </c>
      <c r="B21" s="51">
        <v>20001140128</v>
      </c>
      <c r="C21" s="52" t="s">
        <v>1867</v>
      </c>
      <c r="D21" s="52" t="s">
        <v>1476</v>
      </c>
      <c r="E21" s="52" t="s">
        <v>1868</v>
      </c>
      <c r="F21" s="52" t="s">
        <v>618</v>
      </c>
      <c r="G21" s="52" t="s">
        <v>213</v>
      </c>
      <c r="H21" s="52">
        <v>1</v>
      </c>
    </row>
    <row r="22" spans="1:8" ht="14.4" x14ac:dyDescent="0.3">
      <c r="A22" s="50">
        <v>268</v>
      </c>
      <c r="B22" s="51">
        <v>20001104088</v>
      </c>
      <c r="C22" s="52" t="s">
        <v>1087</v>
      </c>
      <c r="D22" s="52" t="s">
        <v>797</v>
      </c>
      <c r="E22" s="52" t="s">
        <v>3378</v>
      </c>
      <c r="F22" s="52" t="s">
        <v>620</v>
      </c>
      <c r="G22" s="52" t="s">
        <v>244</v>
      </c>
      <c r="H22" s="52">
        <v>1</v>
      </c>
    </row>
    <row r="23" spans="1:8" ht="14.4" x14ac:dyDescent="0.3">
      <c r="A23" s="50">
        <v>269</v>
      </c>
      <c r="B23" s="51">
        <v>20000830030</v>
      </c>
      <c r="C23" s="52" t="s">
        <v>844</v>
      </c>
      <c r="D23" s="52" t="s">
        <v>1265</v>
      </c>
      <c r="E23" s="52" t="s">
        <v>1266</v>
      </c>
      <c r="F23" s="52" t="s">
        <v>620</v>
      </c>
      <c r="G23" s="52" t="s">
        <v>213</v>
      </c>
      <c r="H23" s="52">
        <v>1</v>
      </c>
    </row>
    <row r="24" spans="1:8" ht="14.4" x14ac:dyDescent="0.3">
      <c r="A24" s="50">
        <v>271</v>
      </c>
      <c r="B24" s="51">
        <v>20001104088</v>
      </c>
      <c r="C24" s="52" t="s">
        <v>990</v>
      </c>
      <c r="D24" s="52" t="s">
        <v>1101</v>
      </c>
      <c r="E24" s="52" t="s">
        <v>3379</v>
      </c>
      <c r="F24" s="52" t="s">
        <v>620</v>
      </c>
      <c r="G24" s="52" t="s">
        <v>244</v>
      </c>
      <c r="H24" s="52">
        <v>1</v>
      </c>
    </row>
    <row r="25" spans="1:8" ht="14.4" x14ac:dyDescent="0.3">
      <c r="A25" s="50">
        <v>286</v>
      </c>
      <c r="B25" s="51">
        <v>20001140004</v>
      </c>
      <c r="C25" s="52" t="s">
        <v>1164</v>
      </c>
      <c r="D25" s="52" t="s">
        <v>1858</v>
      </c>
      <c r="E25" s="52" t="s">
        <v>1426</v>
      </c>
      <c r="F25" s="52" t="s">
        <v>618</v>
      </c>
      <c r="G25" s="52" t="s">
        <v>244</v>
      </c>
      <c r="H25" s="52">
        <v>1</v>
      </c>
    </row>
    <row r="26" spans="1:8" ht="14.4" x14ac:dyDescent="0.3">
      <c r="A26" s="50">
        <v>289</v>
      </c>
      <c r="B26" s="51">
        <v>20020040014</v>
      </c>
      <c r="C26" s="52" t="s">
        <v>818</v>
      </c>
      <c r="D26" s="52" t="s">
        <v>1282</v>
      </c>
      <c r="E26" s="52" t="s">
        <v>2194</v>
      </c>
      <c r="F26" s="52" t="s">
        <v>618</v>
      </c>
      <c r="G26" s="52" t="s">
        <v>244</v>
      </c>
      <c r="H26" s="52">
        <v>1</v>
      </c>
    </row>
    <row r="27" spans="1:8" ht="14.4" x14ac:dyDescent="0.3">
      <c r="A27" s="50">
        <v>294</v>
      </c>
      <c r="B27" s="51">
        <v>20001140004</v>
      </c>
      <c r="C27" s="52" t="s">
        <v>1853</v>
      </c>
      <c r="D27" s="52" t="s">
        <v>770</v>
      </c>
      <c r="E27" s="52" t="s">
        <v>1854</v>
      </c>
      <c r="F27" s="52" t="s">
        <v>618</v>
      </c>
      <c r="G27" s="52" t="s">
        <v>244</v>
      </c>
      <c r="H27" s="52">
        <v>1</v>
      </c>
    </row>
    <row r="28" spans="1:8" ht="14.4" x14ac:dyDescent="0.3">
      <c r="A28" s="50">
        <v>300</v>
      </c>
      <c r="B28" s="51">
        <v>20000310010</v>
      </c>
      <c r="C28" s="52" t="s">
        <v>678</v>
      </c>
      <c r="D28" s="52" t="s">
        <v>679</v>
      </c>
      <c r="E28" s="52" t="s">
        <v>2922</v>
      </c>
      <c r="F28" s="52" t="s">
        <v>664</v>
      </c>
      <c r="G28" s="52" t="s">
        <v>213</v>
      </c>
      <c r="H28" s="52">
        <v>1</v>
      </c>
    </row>
    <row r="29" spans="1:8" ht="14.4" x14ac:dyDescent="0.3">
      <c r="A29" s="50">
        <v>302</v>
      </c>
      <c r="B29" s="51">
        <v>20000340010</v>
      </c>
      <c r="C29" s="52" t="s">
        <v>917</v>
      </c>
      <c r="D29" s="52" t="s">
        <v>918</v>
      </c>
      <c r="E29" s="52" t="s">
        <v>2923</v>
      </c>
      <c r="F29" s="52" t="s">
        <v>664</v>
      </c>
      <c r="G29" s="52" t="s">
        <v>244</v>
      </c>
      <c r="H29" s="52">
        <v>0.5</v>
      </c>
    </row>
    <row r="30" spans="1:8" ht="14.4" x14ac:dyDescent="0.3">
      <c r="A30" s="50">
        <v>306</v>
      </c>
      <c r="B30" s="51">
        <v>20001140000</v>
      </c>
      <c r="C30" s="52" t="s">
        <v>1297</v>
      </c>
      <c r="D30" s="52" t="s">
        <v>868</v>
      </c>
      <c r="E30" s="52" t="s">
        <v>3241</v>
      </c>
      <c r="F30" s="52" t="s">
        <v>618</v>
      </c>
      <c r="G30" s="52" t="s">
        <v>213</v>
      </c>
      <c r="H30" s="52">
        <v>1</v>
      </c>
    </row>
    <row r="31" spans="1:8" ht="14.4" x14ac:dyDescent="0.3">
      <c r="A31" s="50">
        <v>312</v>
      </c>
      <c r="B31" s="51">
        <v>20020120015</v>
      </c>
      <c r="C31" s="52" t="s">
        <v>2276</v>
      </c>
      <c r="D31" s="52" t="s">
        <v>1142</v>
      </c>
      <c r="E31" s="52" t="s">
        <v>2237</v>
      </c>
      <c r="F31" s="52" t="s">
        <v>618</v>
      </c>
      <c r="G31" s="52" t="s">
        <v>244</v>
      </c>
      <c r="H31" s="52">
        <v>0.5</v>
      </c>
    </row>
    <row r="32" spans="1:8" ht="14.4" x14ac:dyDescent="0.3">
      <c r="A32" s="50">
        <v>313</v>
      </c>
      <c r="B32" s="51">
        <v>20000300130</v>
      </c>
      <c r="C32" s="52" t="s">
        <v>1913</v>
      </c>
      <c r="D32" s="52" t="s">
        <v>1497</v>
      </c>
      <c r="E32" s="52" t="s">
        <v>1914</v>
      </c>
      <c r="F32" s="52" t="s">
        <v>618</v>
      </c>
      <c r="G32" s="52" t="s">
        <v>213</v>
      </c>
      <c r="H32" s="52">
        <v>1</v>
      </c>
    </row>
    <row r="33" spans="1:8" ht="14.4" x14ac:dyDescent="0.3">
      <c r="A33" s="50">
        <v>314</v>
      </c>
      <c r="B33" s="51">
        <v>20020040014</v>
      </c>
      <c r="C33" s="52" t="s">
        <v>2203</v>
      </c>
      <c r="D33" s="52" t="s">
        <v>1505</v>
      </c>
      <c r="E33" s="52" t="s">
        <v>2198</v>
      </c>
      <c r="F33" s="52" t="s">
        <v>618</v>
      </c>
      <c r="G33" s="52" t="s">
        <v>213</v>
      </c>
      <c r="H33" s="52">
        <v>1</v>
      </c>
    </row>
    <row r="34" spans="1:8" ht="14.4" x14ac:dyDescent="0.3">
      <c r="A34" s="50">
        <v>315</v>
      </c>
      <c r="B34" s="51">
        <v>20001150127</v>
      </c>
      <c r="C34" s="52" t="s">
        <v>1881</v>
      </c>
      <c r="D34" s="52" t="s">
        <v>923</v>
      </c>
      <c r="E34" s="52" t="s">
        <v>1426</v>
      </c>
      <c r="F34" s="52" t="s">
        <v>618</v>
      </c>
      <c r="G34" s="52" t="s">
        <v>213</v>
      </c>
      <c r="H34" s="52">
        <v>1</v>
      </c>
    </row>
    <row r="35" spans="1:8" ht="14.4" x14ac:dyDescent="0.3">
      <c r="A35" s="50">
        <v>323</v>
      </c>
      <c r="B35" s="51">
        <v>20009001108</v>
      </c>
      <c r="C35" s="52" t="s">
        <v>673</v>
      </c>
      <c r="D35" s="52" t="s">
        <v>1344</v>
      </c>
      <c r="E35" s="52" t="s">
        <v>3380</v>
      </c>
      <c r="F35" s="52" t="s">
        <v>628</v>
      </c>
      <c r="G35" s="52" t="s">
        <v>244</v>
      </c>
      <c r="H35" s="52">
        <v>1</v>
      </c>
    </row>
    <row r="36" spans="1:8" ht="14.4" x14ac:dyDescent="0.3">
      <c r="A36" s="50">
        <v>327</v>
      </c>
      <c r="B36" s="51">
        <v>20020120015</v>
      </c>
      <c r="C36" s="52" t="s">
        <v>2277</v>
      </c>
      <c r="D36" s="52" t="s">
        <v>1390</v>
      </c>
      <c r="E36" s="52" t="s">
        <v>2237</v>
      </c>
      <c r="F36" s="52" t="s">
        <v>618</v>
      </c>
      <c r="G36" s="52" t="s">
        <v>213</v>
      </c>
      <c r="H36" s="52">
        <v>1</v>
      </c>
    </row>
    <row r="37" spans="1:8" ht="14.4" x14ac:dyDescent="0.3">
      <c r="A37" s="50">
        <v>332</v>
      </c>
      <c r="B37" s="51">
        <v>20001140128</v>
      </c>
      <c r="C37" s="52" t="s">
        <v>1865</v>
      </c>
      <c r="D37" s="52" t="s">
        <v>746</v>
      </c>
      <c r="E37" s="52" t="s">
        <v>1866</v>
      </c>
      <c r="F37" s="52" t="s">
        <v>618</v>
      </c>
      <c r="G37" s="52" t="s">
        <v>213</v>
      </c>
      <c r="H37" s="52">
        <v>1</v>
      </c>
    </row>
    <row r="38" spans="1:8" ht="14.4" x14ac:dyDescent="0.3">
      <c r="A38" s="50">
        <v>333</v>
      </c>
      <c r="B38" s="51">
        <v>20009001108</v>
      </c>
      <c r="C38" s="52" t="s">
        <v>2645</v>
      </c>
      <c r="D38" s="52" t="s">
        <v>1088</v>
      </c>
      <c r="E38" s="52" t="s">
        <v>2812</v>
      </c>
      <c r="F38" s="52" t="s">
        <v>628</v>
      </c>
      <c r="G38" s="52" t="s">
        <v>213</v>
      </c>
      <c r="H38" s="52">
        <v>1</v>
      </c>
    </row>
    <row r="39" spans="1:8" ht="14.4" x14ac:dyDescent="0.3">
      <c r="A39" s="50">
        <v>344</v>
      </c>
      <c r="B39" s="51">
        <v>20000340010</v>
      </c>
      <c r="C39" s="52" t="s">
        <v>915</v>
      </c>
      <c r="D39" s="52" t="s">
        <v>916</v>
      </c>
      <c r="E39" s="52" t="s">
        <v>3264</v>
      </c>
      <c r="F39" s="52" t="s">
        <v>664</v>
      </c>
      <c r="G39" s="52" t="s">
        <v>244</v>
      </c>
      <c r="H39" s="52">
        <v>1</v>
      </c>
    </row>
    <row r="40" spans="1:8" ht="14.4" x14ac:dyDescent="0.3">
      <c r="A40" s="50">
        <v>348</v>
      </c>
      <c r="B40" s="51">
        <v>20020120015</v>
      </c>
      <c r="C40" s="52" t="s">
        <v>2274</v>
      </c>
      <c r="D40" s="52" t="s">
        <v>2275</v>
      </c>
      <c r="E40" s="52" t="s">
        <v>2237</v>
      </c>
      <c r="F40" s="52" t="s">
        <v>618</v>
      </c>
      <c r="G40" s="52" t="s">
        <v>213</v>
      </c>
      <c r="H40" s="52">
        <v>1</v>
      </c>
    </row>
    <row r="41" spans="1:8" ht="14.4" x14ac:dyDescent="0.3">
      <c r="A41" s="50">
        <v>368</v>
      </c>
      <c r="B41" s="51">
        <v>20000500003</v>
      </c>
      <c r="C41" s="52" t="s">
        <v>977</v>
      </c>
      <c r="D41" s="52" t="s">
        <v>668</v>
      </c>
      <c r="E41" s="52" t="s">
        <v>2524</v>
      </c>
      <c r="F41" s="52" t="s">
        <v>618</v>
      </c>
      <c r="G41" s="52" t="s">
        <v>213</v>
      </c>
      <c r="H41" s="52">
        <v>1</v>
      </c>
    </row>
    <row r="42" spans="1:8" ht="14.4" x14ac:dyDescent="0.3">
      <c r="A42" s="50">
        <v>402</v>
      </c>
      <c r="B42" s="51">
        <v>20001052065</v>
      </c>
      <c r="C42" s="52" t="s">
        <v>1500</v>
      </c>
      <c r="D42" s="52" t="s">
        <v>1501</v>
      </c>
      <c r="E42" s="52" t="s">
        <v>1326</v>
      </c>
      <c r="F42" s="52" t="s">
        <v>628</v>
      </c>
      <c r="G42" s="52" t="s">
        <v>213</v>
      </c>
      <c r="H42" s="52">
        <v>1</v>
      </c>
    </row>
    <row r="43" spans="1:8" ht="14.4" x14ac:dyDescent="0.3">
      <c r="A43" s="50">
        <v>410</v>
      </c>
      <c r="B43" s="51">
        <v>20001052065</v>
      </c>
      <c r="C43" s="52" t="s">
        <v>836</v>
      </c>
      <c r="D43" s="52" t="s">
        <v>1519</v>
      </c>
      <c r="E43" s="52" t="s">
        <v>1326</v>
      </c>
      <c r="F43" s="52" t="s">
        <v>628</v>
      </c>
      <c r="G43" s="52" t="s">
        <v>213</v>
      </c>
      <c r="H43" s="52">
        <v>1</v>
      </c>
    </row>
    <row r="44" spans="1:8" ht="14.4" x14ac:dyDescent="0.3">
      <c r="A44" s="50">
        <v>414</v>
      </c>
      <c r="B44" s="51">
        <v>20001103078</v>
      </c>
      <c r="C44" s="52" t="s">
        <v>1777</v>
      </c>
      <c r="D44" s="52" t="s">
        <v>1778</v>
      </c>
      <c r="E44" s="52" t="s">
        <v>3381</v>
      </c>
      <c r="F44" s="52" t="s">
        <v>1313</v>
      </c>
      <c r="G44" s="52" t="s">
        <v>244</v>
      </c>
      <c r="H44" s="52">
        <v>1</v>
      </c>
    </row>
    <row r="45" spans="1:8" ht="14.4" x14ac:dyDescent="0.3">
      <c r="A45" s="50">
        <v>415</v>
      </c>
      <c r="B45" s="51">
        <v>20001052057</v>
      </c>
      <c r="C45" s="52" t="s">
        <v>1434</v>
      </c>
      <c r="D45" s="52" t="s">
        <v>1435</v>
      </c>
      <c r="E45" s="52" t="s">
        <v>1326</v>
      </c>
      <c r="F45" s="52" t="s">
        <v>1428</v>
      </c>
      <c r="G45" s="52" t="s">
        <v>244</v>
      </c>
      <c r="H45" s="52">
        <v>1</v>
      </c>
    </row>
    <row r="46" spans="1:8" ht="14.4" x14ac:dyDescent="0.3">
      <c r="A46" s="50">
        <v>419</v>
      </c>
      <c r="B46" s="51">
        <v>20001054085</v>
      </c>
      <c r="C46" s="52" t="s">
        <v>1567</v>
      </c>
      <c r="D46" s="52" t="s">
        <v>1568</v>
      </c>
      <c r="E46" s="52" t="s">
        <v>1326</v>
      </c>
      <c r="F46" s="52" t="s">
        <v>620</v>
      </c>
      <c r="G46" s="52" t="s">
        <v>244</v>
      </c>
      <c r="H46" s="52">
        <v>1</v>
      </c>
    </row>
    <row r="47" spans="1:8" ht="14.4" x14ac:dyDescent="0.3">
      <c r="A47" s="50">
        <v>423</v>
      </c>
      <c r="B47" s="51">
        <v>20001054085</v>
      </c>
      <c r="C47" s="52" t="s">
        <v>1577</v>
      </c>
      <c r="D47" s="52" t="s">
        <v>1578</v>
      </c>
      <c r="E47" s="52" t="s">
        <v>1326</v>
      </c>
      <c r="F47" s="52" t="s">
        <v>620</v>
      </c>
      <c r="G47" s="52" t="s">
        <v>213</v>
      </c>
      <c r="H47" s="52">
        <v>1</v>
      </c>
    </row>
    <row r="48" spans="1:8" ht="14.4" x14ac:dyDescent="0.3">
      <c r="A48" s="50">
        <v>425</v>
      </c>
      <c r="B48" s="51">
        <v>20001052065</v>
      </c>
      <c r="C48" s="52" t="s">
        <v>1515</v>
      </c>
      <c r="D48" s="52" t="s">
        <v>1055</v>
      </c>
      <c r="E48" s="52" t="s">
        <v>1326</v>
      </c>
      <c r="F48" s="52" t="s">
        <v>628</v>
      </c>
      <c r="G48" s="52" t="s">
        <v>213</v>
      </c>
      <c r="H48" s="52">
        <v>1</v>
      </c>
    </row>
    <row r="49" spans="1:8" ht="14.4" x14ac:dyDescent="0.3">
      <c r="A49" s="50">
        <v>431</v>
      </c>
      <c r="B49" s="51">
        <v>20001104094</v>
      </c>
      <c r="C49" s="52" t="s">
        <v>1834</v>
      </c>
      <c r="D49" s="52" t="s">
        <v>619</v>
      </c>
      <c r="E49" s="52" t="s">
        <v>2870</v>
      </c>
      <c r="F49" s="52" t="s">
        <v>620</v>
      </c>
      <c r="G49" s="52" t="s">
        <v>244</v>
      </c>
      <c r="H49" s="52">
        <v>1</v>
      </c>
    </row>
    <row r="50" spans="1:8" ht="14.4" x14ac:dyDescent="0.3">
      <c r="A50" s="50">
        <v>432</v>
      </c>
      <c r="B50" s="51">
        <v>20001052061</v>
      </c>
      <c r="C50" s="52" t="s">
        <v>2813</v>
      </c>
      <c r="D50" s="52" t="s">
        <v>1338</v>
      </c>
      <c r="E50" s="52" t="s">
        <v>1326</v>
      </c>
      <c r="F50" s="52" t="s">
        <v>1441</v>
      </c>
      <c r="G50" s="52" t="s">
        <v>244</v>
      </c>
      <c r="H50" s="52">
        <v>1</v>
      </c>
    </row>
    <row r="51" spans="1:8" ht="14.4" x14ac:dyDescent="0.3">
      <c r="A51" s="50">
        <v>433</v>
      </c>
      <c r="B51" s="51">
        <v>20001052065</v>
      </c>
      <c r="C51" s="52" t="s">
        <v>1522</v>
      </c>
      <c r="D51" s="52" t="s">
        <v>1244</v>
      </c>
      <c r="E51" s="52" t="s">
        <v>1326</v>
      </c>
      <c r="F51" s="52" t="s">
        <v>628</v>
      </c>
      <c r="G51" s="52" t="s">
        <v>213</v>
      </c>
      <c r="H51" s="52">
        <v>1</v>
      </c>
    </row>
    <row r="52" spans="1:8" ht="14.4" x14ac:dyDescent="0.3">
      <c r="A52" s="50">
        <v>435</v>
      </c>
      <c r="B52" s="51">
        <v>20001102064</v>
      </c>
      <c r="C52" s="52" t="s">
        <v>1711</v>
      </c>
      <c r="D52" s="52" t="s">
        <v>752</v>
      </c>
      <c r="E52" s="52" t="s">
        <v>1377</v>
      </c>
      <c r="F52" s="52" t="s">
        <v>1441</v>
      </c>
      <c r="G52" s="52" t="s">
        <v>244</v>
      </c>
      <c r="H52" s="52">
        <v>1</v>
      </c>
    </row>
    <row r="53" spans="1:8" ht="14.4" x14ac:dyDescent="0.3">
      <c r="A53" s="50">
        <v>443</v>
      </c>
      <c r="B53" s="51">
        <v>20001052061</v>
      </c>
      <c r="C53" s="52" t="s">
        <v>1446</v>
      </c>
      <c r="D53" s="52" t="s">
        <v>1126</v>
      </c>
      <c r="E53" s="52" t="s">
        <v>1326</v>
      </c>
      <c r="F53" s="52" t="s">
        <v>1441</v>
      </c>
      <c r="G53" s="52" t="s">
        <v>213</v>
      </c>
      <c r="H53" s="52">
        <v>1</v>
      </c>
    </row>
    <row r="54" spans="1:8" ht="14.4" x14ac:dyDescent="0.3">
      <c r="A54" s="50">
        <v>449</v>
      </c>
      <c r="B54" s="51">
        <v>20001054085</v>
      </c>
      <c r="C54" s="52" t="s">
        <v>651</v>
      </c>
      <c r="D54" s="52" t="s">
        <v>1178</v>
      </c>
      <c r="E54" s="52" t="s">
        <v>1326</v>
      </c>
      <c r="F54" s="52" t="s">
        <v>620</v>
      </c>
      <c r="G54" s="52" t="s">
        <v>145</v>
      </c>
      <c r="H54" s="52">
        <v>1</v>
      </c>
    </row>
    <row r="55" spans="1:8" ht="14.4" x14ac:dyDescent="0.3">
      <c r="A55" s="50">
        <v>450</v>
      </c>
      <c r="B55" s="51">
        <v>20001054089</v>
      </c>
      <c r="C55" s="52" t="s">
        <v>1609</v>
      </c>
      <c r="D55" s="52" t="s">
        <v>797</v>
      </c>
      <c r="E55" s="52" t="s">
        <v>1326</v>
      </c>
      <c r="F55" s="52" t="s">
        <v>1086</v>
      </c>
      <c r="G55" s="52" t="s">
        <v>213</v>
      </c>
      <c r="H55" s="52">
        <v>1</v>
      </c>
    </row>
    <row r="56" spans="1:8" ht="14.4" x14ac:dyDescent="0.3">
      <c r="A56" s="50">
        <v>453</v>
      </c>
      <c r="B56" s="51">
        <v>20001052065</v>
      </c>
      <c r="C56" s="52" t="s">
        <v>1521</v>
      </c>
      <c r="D56" s="52" t="s">
        <v>923</v>
      </c>
      <c r="E56" s="52" t="s">
        <v>1326</v>
      </c>
      <c r="F56" s="52" t="s">
        <v>628</v>
      </c>
      <c r="G56" s="52" t="s">
        <v>213</v>
      </c>
      <c r="H56" s="52">
        <v>1</v>
      </c>
    </row>
    <row r="57" spans="1:8" ht="14.4" x14ac:dyDescent="0.3">
      <c r="A57" s="50">
        <v>454</v>
      </c>
      <c r="B57" s="51">
        <v>20001052065</v>
      </c>
      <c r="C57" s="52" t="s">
        <v>1512</v>
      </c>
      <c r="D57" s="52" t="s">
        <v>672</v>
      </c>
      <c r="E57" s="52" t="s">
        <v>3376</v>
      </c>
      <c r="F57" s="52" t="s">
        <v>628</v>
      </c>
      <c r="G57" s="52" t="s">
        <v>244</v>
      </c>
      <c r="H57" s="52">
        <v>1</v>
      </c>
    </row>
    <row r="58" spans="1:8" ht="14.4" x14ac:dyDescent="0.3">
      <c r="A58" s="50">
        <v>459</v>
      </c>
      <c r="B58" s="51">
        <v>20001054085</v>
      </c>
      <c r="C58" s="52" t="s">
        <v>1581</v>
      </c>
      <c r="D58" s="52" t="s">
        <v>1582</v>
      </c>
      <c r="E58" s="52" t="s">
        <v>1326</v>
      </c>
      <c r="F58" s="52" t="s">
        <v>620</v>
      </c>
      <c r="G58" s="52" t="s">
        <v>244</v>
      </c>
      <c r="H58" s="52">
        <v>1</v>
      </c>
    </row>
    <row r="59" spans="1:8" ht="14.4" x14ac:dyDescent="0.3">
      <c r="A59" s="50">
        <v>460</v>
      </c>
      <c r="B59" s="51">
        <v>20020054086</v>
      </c>
      <c r="C59" s="52" t="s">
        <v>2225</v>
      </c>
      <c r="D59" s="52" t="s">
        <v>2142</v>
      </c>
      <c r="E59" s="52" t="s">
        <v>1326</v>
      </c>
      <c r="F59" s="52" t="s">
        <v>620</v>
      </c>
      <c r="G59" s="52" t="s">
        <v>213</v>
      </c>
      <c r="H59" s="52">
        <v>1</v>
      </c>
    </row>
    <row r="60" spans="1:8" ht="14.4" x14ac:dyDescent="0.3">
      <c r="A60" s="50">
        <v>462</v>
      </c>
      <c r="B60" s="51">
        <v>20001052065</v>
      </c>
      <c r="C60" s="52" t="s">
        <v>1518</v>
      </c>
      <c r="D60" s="52" t="s">
        <v>739</v>
      </c>
      <c r="E60" s="52" t="s">
        <v>1326</v>
      </c>
      <c r="F60" s="52" t="s">
        <v>628</v>
      </c>
      <c r="G60" s="52" t="s">
        <v>213</v>
      </c>
      <c r="H60" s="52">
        <v>1</v>
      </c>
    </row>
    <row r="61" spans="1:8" ht="14.4" x14ac:dyDescent="0.3">
      <c r="A61" s="50">
        <v>463</v>
      </c>
      <c r="B61" s="51">
        <v>20001054085</v>
      </c>
      <c r="C61" s="52" t="s">
        <v>1588</v>
      </c>
      <c r="D61" s="52" t="s">
        <v>1589</v>
      </c>
      <c r="E61" s="52" t="s">
        <v>1326</v>
      </c>
      <c r="F61" s="52" t="s">
        <v>620</v>
      </c>
      <c r="G61" s="52" t="s">
        <v>244</v>
      </c>
      <c r="H61" s="52">
        <v>1</v>
      </c>
    </row>
    <row r="62" spans="1:8" ht="14.4" x14ac:dyDescent="0.3">
      <c r="A62" s="50">
        <v>465</v>
      </c>
      <c r="B62" s="51">
        <v>20001054085</v>
      </c>
      <c r="C62" s="52" t="s">
        <v>1584</v>
      </c>
      <c r="D62" s="52" t="s">
        <v>672</v>
      </c>
      <c r="E62" s="52" t="s">
        <v>1326</v>
      </c>
      <c r="F62" s="52" t="s">
        <v>620</v>
      </c>
      <c r="G62" s="52" t="s">
        <v>213</v>
      </c>
      <c r="H62" s="52">
        <v>1</v>
      </c>
    </row>
    <row r="63" spans="1:8" ht="14.4" x14ac:dyDescent="0.3">
      <c r="A63" s="50">
        <v>469</v>
      </c>
      <c r="B63" s="51">
        <v>20001052061</v>
      </c>
      <c r="C63" s="52" t="s">
        <v>1453</v>
      </c>
      <c r="D63" s="52" t="s">
        <v>672</v>
      </c>
      <c r="E63" s="52" t="s">
        <v>1326</v>
      </c>
      <c r="F63" s="52" t="s">
        <v>1441</v>
      </c>
      <c r="G63" s="52" t="s">
        <v>213</v>
      </c>
      <c r="H63" s="52">
        <v>1</v>
      </c>
    </row>
    <row r="64" spans="1:8" ht="14.4" x14ac:dyDescent="0.3">
      <c r="A64" s="50">
        <v>470</v>
      </c>
      <c r="B64" s="51">
        <v>20001053075</v>
      </c>
      <c r="C64" s="52" t="s">
        <v>1438</v>
      </c>
      <c r="D64" s="52" t="s">
        <v>719</v>
      </c>
      <c r="E64" s="52" t="s">
        <v>1326</v>
      </c>
      <c r="F64" s="52" t="s">
        <v>1313</v>
      </c>
      <c r="G64" s="52" t="s">
        <v>213</v>
      </c>
      <c r="H64" s="52">
        <v>1</v>
      </c>
    </row>
    <row r="65" spans="1:8" ht="14.4" x14ac:dyDescent="0.3">
      <c r="A65" s="50">
        <v>472</v>
      </c>
      <c r="B65" s="51">
        <v>20001052065</v>
      </c>
      <c r="C65" s="52" t="s">
        <v>1461</v>
      </c>
      <c r="D65" s="52" t="s">
        <v>1382</v>
      </c>
      <c r="E65" s="52" t="s">
        <v>3376</v>
      </c>
      <c r="F65" s="52" t="s">
        <v>628</v>
      </c>
      <c r="G65" s="52" t="s">
        <v>244</v>
      </c>
      <c r="H65" s="52">
        <v>1</v>
      </c>
    </row>
    <row r="66" spans="1:8" ht="14.4" x14ac:dyDescent="0.3">
      <c r="A66" s="50">
        <v>476</v>
      </c>
      <c r="B66" s="51">
        <v>20001052061</v>
      </c>
      <c r="C66" s="52" t="s">
        <v>2215</v>
      </c>
      <c r="D66" s="52" t="s">
        <v>2216</v>
      </c>
      <c r="E66" s="52" t="s">
        <v>1326</v>
      </c>
      <c r="F66" s="52" t="s">
        <v>1441</v>
      </c>
      <c r="G66" s="52" t="s">
        <v>213</v>
      </c>
      <c r="H66" s="52">
        <v>1</v>
      </c>
    </row>
    <row r="67" spans="1:8" ht="14.4" x14ac:dyDescent="0.3">
      <c r="A67" s="50">
        <v>479</v>
      </c>
      <c r="B67" s="51">
        <v>20001052069</v>
      </c>
      <c r="C67" s="52" t="s">
        <v>1301</v>
      </c>
      <c r="D67" s="52" t="s">
        <v>1369</v>
      </c>
      <c r="E67" s="52" t="s">
        <v>1326</v>
      </c>
      <c r="F67" s="52" t="s">
        <v>1532</v>
      </c>
      <c r="G67" s="52" t="s">
        <v>213</v>
      </c>
      <c r="H67" s="52">
        <v>1</v>
      </c>
    </row>
    <row r="68" spans="1:8" ht="14.4" x14ac:dyDescent="0.3">
      <c r="A68" s="50">
        <v>487</v>
      </c>
      <c r="B68" s="51">
        <v>20001052065</v>
      </c>
      <c r="C68" s="52" t="s">
        <v>1478</v>
      </c>
      <c r="D68" s="52" t="s">
        <v>1479</v>
      </c>
      <c r="E68" s="52" t="s">
        <v>3376</v>
      </c>
      <c r="F68" s="52" t="s">
        <v>628</v>
      </c>
      <c r="G68" s="52" t="s">
        <v>244</v>
      </c>
      <c r="H68" s="52">
        <v>1</v>
      </c>
    </row>
    <row r="69" spans="1:8" ht="14.4" x14ac:dyDescent="0.3">
      <c r="A69" s="50">
        <v>490</v>
      </c>
      <c r="B69" s="51">
        <v>20001054089</v>
      </c>
      <c r="C69" s="52" t="s">
        <v>1611</v>
      </c>
      <c r="D69" s="52" t="s">
        <v>1101</v>
      </c>
      <c r="E69" s="52" t="s">
        <v>1385</v>
      </c>
      <c r="F69" s="52" t="s">
        <v>1086</v>
      </c>
      <c r="G69" s="52" t="s">
        <v>244</v>
      </c>
      <c r="H69" s="52">
        <v>1</v>
      </c>
    </row>
    <row r="70" spans="1:8" ht="14.4" x14ac:dyDescent="0.3">
      <c r="A70" s="50">
        <v>604</v>
      </c>
      <c r="B70" s="51">
        <v>20020094087</v>
      </c>
      <c r="C70" s="52" t="s">
        <v>2243</v>
      </c>
      <c r="D70" s="52" t="s">
        <v>2244</v>
      </c>
      <c r="E70" s="52" t="s">
        <v>3502</v>
      </c>
      <c r="F70" s="52" t="s">
        <v>620</v>
      </c>
      <c r="G70" s="52" t="s">
        <v>213</v>
      </c>
      <c r="H70" s="52">
        <v>1</v>
      </c>
    </row>
    <row r="71" spans="1:8" ht="14.4" x14ac:dyDescent="0.3">
      <c r="A71" s="50">
        <v>609</v>
      </c>
      <c r="B71" s="51">
        <v>20001053079</v>
      </c>
      <c r="C71" s="52" t="s">
        <v>901</v>
      </c>
      <c r="D71" s="52" t="s">
        <v>1559</v>
      </c>
      <c r="E71" s="52" t="s">
        <v>3382</v>
      </c>
      <c r="F71" s="52" t="s">
        <v>1558</v>
      </c>
      <c r="G71" s="52" t="s">
        <v>244</v>
      </c>
      <c r="H71" s="52">
        <v>1</v>
      </c>
    </row>
    <row r="72" spans="1:8" ht="14.4" x14ac:dyDescent="0.3">
      <c r="A72" s="50">
        <v>610</v>
      </c>
      <c r="B72" s="51">
        <v>20001140004</v>
      </c>
      <c r="C72" s="52" t="s">
        <v>1851</v>
      </c>
      <c r="D72" s="52" t="s">
        <v>748</v>
      </c>
      <c r="E72" s="52" t="s">
        <v>1852</v>
      </c>
      <c r="F72" s="52" t="s">
        <v>618</v>
      </c>
      <c r="G72" s="52" t="s">
        <v>244</v>
      </c>
      <c r="H72" s="52">
        <v>1</v>
      </c>
    </row>
    <row r="73" spans="1:8" ht="14.4" x14ac:dyDescent="0.3">
      <c r="A73" s="50">
        <v>612</v>
      </c>
      <c r="B73" s="51">
        <v>20009001106</v>
      </c>
      <c r="C73" s="52" t="s">
        <v>2025</v>
      </c>
      <c r="D73" s="52" t="s">
        <v>948</v>
      </c>
      <c r="E73" s="52" t="s">
        <v>3383</v>
      </c>
      <c r="F73" s="52" t="s">
        <v>1428</v>
      </c>
      <c r="G73" s="52" t="s">
        <v>244</v>
      </c>
      <c r="H73" s="52">
        <v>1</v>
      </c>
    </row>
    <row r="74" spans="1:8" ht="14.4" x14ac:dyDescent="0.3">
      <c r="A74" s="50">
        <v>617</v>
      </c>
      <c r="B74" s="51">
        <v>20009001112</v>
      </c>
      <c r="C74" s="52" t="s">
        <v>2165</v>
      </c>
      <c r="D74" s="52" t="s">
        <v>2166</v>
      </c>
      <c r="E74" s="52" t="s">
        <v>1970</v>
      </c>
      <c r="F74" s="52" t="s">
        <v>620</v>
      </c>
      <c r="G74" s="52" t="s">
        <v>244</v>
      </c>
      <c r="H74" s="52">
        <v>1</v>
      </c>
    </row>
    <row r="75" spans="1:8" ht="14.4" x14ac:dyDescent="0.3">
      <c r="A75" s="50">
        <v>620</v>
      </c>
      <c r="B75" s="51">
        <v>20009001112</v>
      </c>
      <c r="C75" s="52" t="s">
        <v>2132</v>
      </c>
      <c r="D75" s="52" t="s">
        <v>1570</v>
      </c>
      <c r="E75" s="52" t="s">
        <v>1993</v>
      </c>
      <c r="F75" s="52" t="s">
        <v>620</v>
      </c>
      <c r="G75" s="52" t="s">
        <v>244</v>
      </c>
      <c r="H75" s="52">
        <v>1</v>
      </c>
    </row>
    <row r="76" spans="1:8" ht="14.4" x14ac:dyDescent="0.3">
      <c r="A76" s="50">
        <v>621</v>
      </c>
      <c r="B76" s="51">
        <v>20009001112</v>
      </c>
      <c r="C76" s="52" t="s">
        <v>2134</v>
      </c>
      <c r="D76" s="52" t="s">
        <v>1573</v>
      </c>
      <c r="E76" s="52" t="s">
        <v>3384</v>
      </c>
      <c r="F76" s="52" t="s">
        <v>620</v>
      </c>
      <c r="G76" s="52" t="s">
        <v>213</v>
      </c>
      <c r="H76" s="52">
        <v>1</v>
      </c>
    </row>
    <row r="77" spans="1:8" ht="14.4" x14ac:dyDescent="0.3">
      <c r="A77" s="50">
        <v>624</v>
      </c>
      <c r="B77" s="51">
        <v>20060110034</v>
      </c>
      <c r="C77" s="52" t="s">
        <v>2360</v>
      </c>
      <c r="D77" s="52" t="s">
        <v>894</v>
      </c>
      <c r="E77" s="52" t="s">
        <v>2495</v>
      </c>
      <c r="F77" s="52" t="s">
        <v>628</v>
      </c>
      <c r="G77" s="52" t="s">
        <v>213</v>
      </c>
      <c r="H77" s="52">
        <v>1</v>
      </c>
    </row>
    <row r="78" spans="1:8" ht="14.4" x14ac:dyDescent="0.3">
      <c r="A78" s="36">
        <v>631</v>
      </c>
      <c r="B78" s="36">
        <v>20022001104</v>
      </c>
      <c r="C78" s="36" t="s">
        <v>2314</v>
      </c>
      <c r="D78" s="36" t="s">
        <v>2315</v>
      </c>
      <c r="E78" s="36" t="s">
        <v>3385</v>
      </c>
      <c r="F78" s="36" t="s">
        <v>620</v>
      </c>
      <c r="G78" s="36" t="s">
        <v>244</v>
      </c>
      <c r="H78" s="36">
        <v>1</v>
      </c>
    </row>
    <row r="79" spans="1:8" ht="14.4" x14ac:dyDescent="0.3">
      <c r="A79" s="50">
        <v>671</v>
      </c>
      <c r="B79" s="51">
        <v>20009001109</v>
      </c>
      <c r="C79" s="52" t="s">
        <v>2092</v>
      </c>
      <c r="D79" s="52" t="s">
        <v>1625</v>
      </c>
      <c r="E79" s="52" t="s">
        <v>1970</v>
      </c>
      <c r="F79" s="52" t="s">
        <v>1532</v>
      </c>
      <c r="G79" s="52" t="s">
        <v>213</v>
      </c>
      <c r="H79" s="52">
        <v>1</v>
      </c>
    </row>
    <row r="80" spans="1:8" ht="14.4" x14ac:dyDescent="0.3">
      <c r="A80" s="50">
        <v>673</v>
      </c>
      <c r="B80" s="51">
        <v>20009001112</v>
      </c>
      <c r="C80" s="52" t="s">
        <v>2160</v>
      </c>
      <c r="D80" s="52" t="s">
        <v>1088</v>
      </c>
      <c r="E80" s="52" t="s">
        <v>1970</v>
      </c>
      <c r="F80" s="52" t="s">
        <v>620</v>
      </c>
      <c r="G80" s="52" t="s">
        <v>213</v>
      </c>
      <c r="H80" s="52">
        <v>1</v>
      </c>
    </row>
    <row r="81" spans="1:8" ht="14.4" x14ac:dyDescent="0.3">
      <c r="A81" s="50">
        <v>679</v>
      </c>
      <c r="B81" s="51">
        <v>20020112073</v>
      </c>
      <c r="C81" s="52" t="s">
        <v>2257</v>
      </c>
      <c r="D81" s="52" t="s">
        <v>1159</v>
      </c>
      <c r="E81" s="52" t="s">
        <v>1807</v>
      </c>
      <c r="F81" s="52" t="s">
        <v>628</v>
      </c>
      <c r="G81" s="52" t="s">
        <v>213</v>
      </c>
      <c r="H81" s="52">
        <v>1</v>
      </c>
    </row>
    <row r="82" spans="1:8" ht="14.4" x14ac:dyDescent="0.3">
      <c r="A82" s="50">
        <v>684</v>
      </c>
      <c r="B82" s="51">
        <v>20009001110</v>
      </c>
      <c r="C82" s="52" t="s">
        <v>2124</v>
      </c>
      <c r="D82" s="52" t="s">
        <v>2125</v>
      </c>
      <c r="E82" s="52" t="s">
        <v>1970</v>
      </c>
      <c r="F82" s="52" t="s">
        <v>1313</v>
      </c>
      <c r="G82" s="52" t="s">
        <v>244</v>
      </c>
      <c r="H82" s="52">
        <v>1</v>
      </c>
    </row>
    <row r="83" spans="1:8" ht="14.4" x14ac:dyDescent="0.3">
      <c r="A83" s="50">
        <v>685</v>
      </c>
      <c r="B83" s="51">
        <v>20009001110</v>
      </c>
      <c r="C83" s="52" t="s">
        <v>2113</v>
      </c>
      <c r="D83" s="52" t="s">
        <v>2114</v>
      </c>
      <c r="E83" s="52" t="s">
        <v>1970</v>
      </c>
      <c r="F83" s="52" t="s">
        <v>1313</v>
      </c>
      <c r="G83" s="52" t="s">
        <v>213</v>
      </c>
      <c r="H83" s="52">
        <v>1</v>
      </c>
    </row>
    <row r="84" spans="1:8" ht="14.4" x14ac:dyDescent="0.3">
      <c r="A84" s="50">
        <v>690</v>
      </c>
      <c r="B84" s="51">
        <v>20009001108</v>
      </c>
      <c r="C84" s="52" t="s">
        <v>2058</v>
      </c>
      <c r="D84" s="52" t="s">
        <v>741</v>
      </c>
      <c r="E84" s="52" t="s">
        <v>1970</v>
      </c>
      <c r="F84" s="52" t="s">
        <v>628</v>
      </c>
      <c r="G84" s="52" t="s">
        <v>213</v>
      </c>
      <c r="H84" s="52">
        <v>1</v>
      </c>
    </row>
    <row r="85" spans="1:8" ht="14.4" x14ac:dyDescent="0.3">
      <c r="A85" s="50">
        <v>802</v>
      </c>
      <c r="B85" s="51">
        <v>20001103078</v>
      </c>
      <c r="C85" s="52" t="s">
        <v>1780</v>
      </c>
      <c r="D85" s="52" t="s">
        <v>1187</v>
      </c>
      <c r="E85" s="52" t="s">
        <v>1781</v>
      </c>
      <c r="F85" s="52" t="s">
        <v>1313</v>
      </c>
      <c r="G85" s="52" t="s">
        <v>213</v>
      </c>
      <c r="H85" s="52">
        <v>1</v>
      </c>
    </row>
    <row r="86" spans="1:8" ht="14.4" x14ac:dyDescent="0.3">
      <c r="A86" s="50">
        <v>804</v>
      </c>
      <c r="B86" s="51">
        <v>20000110105</v>
      </c>
      <c r="C86" s="52" t="s">
        <v>631</v>
      </c>
      <c r="D86" s="52" t="s">
        <v>632</v>
      </c>
      <c r="E86" s="52" t="s">
        <v>633</v>
      </c>
      <c r="F86" s="52" t="s">
        <v>628</v>
      </c>
      <c r="G86" s="52" t="s">
        <v>244</v>
      </c>
      <c r="H86" s="52">
        <v>1</v>
      </c>
    </row>
    <row r="87" spans="1:8" ht="14.4" x14ac:dyDescent="0.3">
      <c r="A87" s="50">
        <v>809</v>
      </c>
      <c r="B87" s="51">
        <v>20020120015</v>
      </c>
      <c r="C87" s="52" t="s">
        <v>2273</v>
      </c>
      <c r="D87" s="52" t="s">
        <v>2020</v>
      </c>
      <c r="E87" s="52" t="s">
        <v>2237</v>
      </c>
      <c r="F87" s="52" t="s">
        <v>618</v>
      </c>
      <c r="G87" s="52" t="s">
        <v>213</v>
      </c>
      <c r="H87" s="52">
        <v>1</v>
      </c>
    </row>
    <row r="88" spans="1:8" ht="14.4" x14ac:dyDescent="0.3">
      <c r="A88" s="50">
        <v>810</v>
      </c>
      <c r="B88" s="51">
        <v>20000680024</v>
      </c>
      <c r="C88" s="52" t="s">
        <v>1220</v>
      </c>
      <c r="D88" s="52" t="s">
        <v>1221</v>
      </c>
      <c r="E88" s="52" t="s">
        <v>1222</v>
      </c>
      <c r="F88" s="52" t="s">
        <v>618</v>
      </c>
      <c r="G88" s="52" t="s">
        <v>213</v>
      </c>
      <c r="H88" s="52">
        <v>1</v>
      </c>
    </row>
    <row r="89" spans="1:8" ht="14.4" x14ac:dyDescent="0.3">
      <c r="A89" s="50">
        <v>815</v>
      </c>
      <c r="B89" s="51">
        <v>20000570122</v>
      </c>
      <c r="C89" s="52" t="s">
        <v>1083</v>
      </c>
      <c r="D89" s="52" t="s">
        <v>1084</v>
      </c>
      <c r="E89" s="52" t="s">
        <v>1031</v>
      </c>
      <c r="F89" s="52" t="s">
        <v>628</v>
      </c>
      <c r="G89" s="52" t="s">
        <v>213</v>
      </c>
      <c r="H89" s="52">
        <v>1</v>
      </c>
    </row>
    <row r="90" spans="1:8" ht="14.4" x14ac:dyDescent="0.3">
      <c r="A90" s="50">
        <v>820</v>
      </c>
      <c r="B90" s="51">
        <v>20001052065</v>
      </c>
      <c r="C90" s="52" t="s">
        <v>1064</v>
      </c>
      <c r="D90" s="52" t="s">
        <v>1482</v>
      </c>
      <c r="E90" s="52" t="s">
        <v>1326</v>
      </c>
      <c r="F90" s="52" t="s">
        <v>628</v>
      </c>
      <c r="G90" s="52" t="s">
        <v>213</v>
      </c>
      <c r="H90" s="52">
        <v>1</v>
      </c>
    </row>
    <row r="91" spans="1:8" ht="14.4" x14ac:dyDescent="0.3">
      <c r="A91" s="50">
        <v>825</v>
      </c>
      <c r="B91" s="51">
        <v>20000570123</v>
      </c>
      <c r="C91" s="52" t="s">
        <v>1611</v>
      </c>
      <c r="D91" s="52" t="s">
        <v>1099</v>
      </c>
      <c r="E91" s="52" t="s">
        <v>1031</v>
      </c>
      <c r="F91" s="52" t="s">
        <v>1086</v>
      </c>
      <c r="G91" s="52" t="s">
        <v>213</v>
      </c>
      <c r="H91" s="52">
        <v>0.5</v>
      </c>
    </row>
    <row r="92" spans="1:8" ht="14.4" x14ac:dyDescent="0.3">
      <c r="A92" s="50">
        <v>831</v>
      </c>
      <c r="B92" s="51">
        <v>20000630026</v>
      </c>
      <c r="C92" s="52" t="s">
        <v>1145</v>
      </c>
      <c r="D92" s="52" t="s">
        <v>1146</v>
      </c>
      <c r="E92" s="52" t="s">
        <v>1116</v>
      </c>
      <c r="F92" s="52" t="s">
        <v>618</v>
      </c>
      <c r="G92" s="52" t="s">
        <v>213</v>
      </c>
      <c r="H92" s="52">
        <v>1</v>
      </c>
    </row>
    <row r="93" spans="1:8" ht="14.4" x14ac:dyDescent="0.3">
      <c r="A93" s="50">
        <v>839</v>
      </c>
      <c r="B93" s="51">
        <v>20020094091</v>
      </c>
      <c r="C93" s="52" t="s">
        <v>2253</v>
      </c>
      <c r="D93" s="52" t="s">
        <v>2142</v>
      </c>
      <c r="E93" s="52" t="s">
        <v>2237</v>
      </c>
      <c r="F93" s="52" t="s">
        <v>1086</v>
      </c>
      <c r="G93" s="52" t="s">
        <v>244</v>
      </c>
      <c r="H93" s="52">
        <v>0.5</v>
      </c>
    </row>
    <row r="94" spans="1:8" ht="14.4" x14ac:dyDescent="0.3">
      <c r="A94" s="50">
        <v>850</v>
      </c>
      <c r="B94" s="51">
        <v>20001150127</v>
      </c>
      <c r="C94" s="52" t="s">
        <v>714</v>
      </c>
      <c r="D94" s="52" t="s">
        <v>1156</v>
      </c>
      <c r="E94" s="52" t="s">
        <v>3386</v>
      </c>
      <c r="F94" s="52" t="s">
        <v>618</v>
      </c>
      <c r="G94" s="52" t="s">
        <v>213</v>
      </c>
      <c r="H94" s="52">
        <v>1</v>
      </c>
    </row>
    <row r="95" spans="1:8" ht="14.4" x14ac:dyDescent="0.3">
      <c r="A95" s="50">
        <v>855</v>
      </c>
      <c r="B95" s="51">
        <v>20051092067</v>
      </c>
      <c r="C95" s="52" t="s">
        <v>2337</v>
      </c>
      <c r="D95" s="52" t="s">
        <v>2338</v>
      </c>
      <c r="E95" s="52" t="s">
        <v>2472</v>
      </c>
      <c r="F95" s="52" t="s">
        <v>628</v>
      </c>
      <c r="G95" s="52" t="s">
        <v>213</v>
      </c>
      <c r="H95" s="52">
        <v>1</v>
      </c>
    </row>
    <row r="96" spans="1:8" ht="14.4" x14ac:dyDescent="0.3">
      <c r="A96" s="36">
        <v>858</v>
      </c>
      <c r="B96" s="36">
        <v>20000570009</v>
      </c>
      <c r="C96" s="36" t="s">
        <v>1040</v>
      </c>
      <c r="D96" s="36" t="s">
        <v>635</v>
      </c>
      <c r="E96" s="36" t="s">
        <v>3387</v>
      </c>
      <c r="F96" s="36" t="s">
        <v>618</v>
      </c>
      <c r="G96" s="36" t="s">
        <v>244</v>
      </c>
      <c r="H96" s="36">
        <v>1</v>
      </c>
    </row>
    <row r="97" spans="1:8" ht="14.4" x14ac:dyDescent="0.3">
      <c r="A97" s="50">
        <v>863</v>
      </c>
      <c r="B97" s="51">
        <v>20001054089</v>
      </c>
      <c r="C97" s="52" t="s">
        <v>1612</v>
      </c>
      <c r="D97" s="52" t="s">
        <v>1613</v>
      </c>
      <c r="E97" s="52" t="s">
        <v>1326</v>
      </c>
      <c r="F97" s="52" t="s">
        <v>1086</v>
      </c>
      <c r="G97" s="52" t="s">
        <v>213</v>
      </c>
      <c r="H97" s="52">
        <v>1</v>
      </c>
    </row>
    <row r="98" spans="1:8" ht="14.4" x14ac:dyDescent="0.3">
      <c r="A98" s="50">
        <v>864</v>
      </c>
      <c r="B98" s="51">
        <v>20000650027</v>
      </c>
      <c r="C98" s="52" t="s">
        <v>1014</v>
      </c>
      <c r="D98" s="52" t="s">
        <v>1159</v>
      </c>
      <c r="E98" s="52" t="s">
        <v>1160</v>
      </c>
      <c r="F98" s="52" t="s">
        <v>618</v>
      </c>
      <c r="G98" s="52" t="s">
        <v>213</v>
      </c>
      <c r="H98" s="52">
        <v>1</v>
      </c>
    </row>
    <row r="99" spans="1:8" ht="14.4" x14ac:dyDescent="0.3">
      <c r="A99" s="50">
        <v>867</v>
      </c>
      <c r="B99" s="51">
        <v>20020040014</v>
      </c>
      <c r="C99" s="52" t="s">
        <v>2200</v>
      </c>
      <c r="D99" s="52" t="s">
        <v>870</v>
      </c>
      <c r="E99" s="52" t="s">
        <v>3355</v>
      </c>
      <c r="F99" s="52" t="s">
        <v>618</v>
      </c>
      <c r="G99" s="52" t="s">
        <v>213</v>
      </c>
      <c r="H99" s="52">
        <v>1</v>
      </c>
    </row>
    <row r="100" spans="1:8" ht="14.4" x14ac:dyDescent="0.3">
      <c r="A100" s="50">
        <v>869</v>
      </c>
      <c r="B100" s="51">
        <v>20000630026</v>
      </c>
      <c r="C100" s="52" t="s">
        <v>1135</v>
      </c>
      <c r="D100" s="52" t="s">
        <v>816</v>
      </c>
      <c r="E100" s="52" t="s">
        <v>3388</v>
      </c>
      <c r="F100" s="52" t="s">
        <v>618</v>
      </c>
      <c r="G100" s="52" t="s">
        <v>244</v>
      </c>
      <c r="H100" s="52">
        <v>1</v>
      </c>
    </row>
    <row r="101" spans="1:8" ht="14.4" x14ac:dyDescent="0.3">
      <c r="A101" s="50">
        <v>877</v>
      </c>
      <c r="B101" s="51">
        <v>20020120015</v>
      </c>
      <c r="C101" s="52" t="s">
        <v>2272</v>
      </c>
      <c r="D101" s="52" t="s">
        <v>723</v>
      </c>
      <c r="E101" s="52" t="s">
        <v>2237</v>
      </c>
      <c r="F101" s="52" t="s">
        <v>618</v>
      </c>
      <c r="G101" s="52" t="s">
        <v>213</v>
      </c>
      <c r="H101" s="52">
        <v>1</v>
      </c>
    </row>
    <row r="102" spans="1:8" ht="14.4" x14ac:dyDescent="0.3">
      <c r="A102" s="50">
        <v>878</v>
      </c>
      <c r="B102" s="51">
        <v>20000360010</v>
      </c>
      <c r="C102" s="52" t="s">
        <v>947</v>
      </c>
      <c r="D102" s="52" t="s">
        <v>945</v>
      </c>
      <c r="E102" s="52" t="s">
        <v>3205</v>
      </c>
      <c r="F102" s="52" t="s">
        <v>664</v>
      </c>
      <c r="G102" s="52" t="s">
        <v>244</v>
      </c>
      <c r="H102" s="52">
        <v>1</v>
      </c>
    </row>
    <row r="103" spans="1:8" ht="14.4" x14ac:dyDescent="0.3">
      <c r="A103" s="50">
        <v>880</v>
      </c>
      <c r="B103" s="51">
        <v>20001052069</v>
      </c>
      <c r="C103" s="52" t="s">
        <v>983</v>
      </c>
      <c r="D103" s="52" t="s">
        <v>1536</v>
      </c>
      <c r="E103" s="52" t="s">
        <v>1326</v>
      </c>
      <c r="F103" s="52" t="s">
        <v>1532</v>
      </c>
      <c r="G103" s="52" t="s">
        <v>213</v>
      </c>
      <c r="H103" s="52">
        <v>1</v>
      </c>
    </row>
    <row r="104" spans="1:8" ht="14.4" x14ac:dyDescent="0.3">
      <c r="A104" s="50">
        <v>884</v>
      </c>
      <c r="B104" s="51">
        <v>20000920001</v>
      </c>
      <c r="C104" s="52" t="s">
        <v>1299</v>
      </c>
      <c r="D104" s="52" t="s">
        <v>1300</v>
      </c>
      <c r="E104" s="52" t="s">
        <v>1290</v>
      </c>
      <c r="F104" s="52" t="s">
        <v>618</v>
      </c>
      <c r="G104" s="52" t="s">
        <v>244</v>
      </c>
      <c r="H104" s="52">
        <v>1</v>
      </c>
    </row>
    <row r="105" spans="1:8" ht="14.4" x14ac:dyDescent="0.3">
      <c r="A105" s="50">
        <v>892</v>
      </c>
      <c r="B105" s="51">
        <v>20000830030</v>
      </c>
      <c r="C105" s="52" t="s">
        <v>1268</v>
      </c>
      <c r="D105" s="52" t="s">
        <v>1269</v>
      </c>
      <c r="E105" s="52" t="s">
        <v>1270</v>
      </c>
      <c r="F105" s="52" t="s">
        <v>618</v>
      </c>
      <c r="G105" s="52" t="s">
        <v>213</v>
      </c>
      <c r="H105" s="52">
        <v>1</v>
      </c>
    </row>
    <row r="106" spans="1:8" ht="14.4" x14ac:dyDescent="0.3">
      <c r="A106" s="50">
        <v>897</v>
      </c>
      <c r="B106" s="51">
        <v>20001260017</v>
      </c>
      <c r="C106" s="52" t="s">
        <v>615</v>
      </c>
      <c r="D106" s="52" t="s">
        <v>1889</v>
      </c>
      <c r="E106" s="52" t="s">
        <v>3102</v>
      </c>
      <c r="F106" s="52" t="s">
        <v>618</v>
      </c>
      <c r="G106" s="52" t="s">
        <v>213</v>
      </c>
      <c r="H106" s="52">
        <v>1</v>
      </c>
    </row>
    <row r="107" spans="1:8" ht="14.4" x14ac:dyDescent="0.3">
      <c r="A107" s="50">
        <v>898</v>
      </c>
      <c r="B107" s="51">
        <v>20001052065</v>
      </c>
      <c r="C107" s="52" t="s">
        <v>1513</v>
      </c>
      <c r="D107" s="52" t="s">
        <v>1514</v>
      </c>
      <c r="E107" s="52" t="s">
        <v>1326</v>
      </c>
      <c r="F107" s="52" t="s">
        <v>628</v>
      </c>
      <c r="G107" s="52" t="s">
        <v>244</v>
      </c>
      <c r="H107" s="52">
        <v>1</v>
      </c>
    </row>
    <row r="108" spans="1:8" ht="14.4" x14ac:dyDescent="0.3">
      <c r="A108" s="50">
        <v>901</v>
      </c>
      <c r="B108" s="51">
        <v>20001053075</v>
      </c>
      <c r="C108" s="52" t="s">
        <v>1528</v>
      </c>
      <c r="D108" s="52" t="s">
        <v>1555</v>
      </c>
      <c r="E108" s="52" t="s">
        <v>1326</v>
      </c>
      <c r="F108" s="52" t="s">
        <v>1313</v>
      </c>
      <c r="G108" s="52" t="s">
        <v>244</v>
      </c>
      <c r="H108" s="52">
        <v>1</v>
      </c>
    </row>
    <row r="109" spans="1:8" ht="14.4" x14ac:dyDescent="0.3">
      <c r="A109" s="50">
        <v>904</v>
      </c>
      <c r="B109" s="51">
        <v>20051092067</v>
      </c>
      <c r="C109" s="52" t="s">
        <v>1487</v>
      </c>
      <c r="D109" s="52" t="s">
        <v>1474</v>
      </c>
      <c r="E109" s="52" t="s">
        <v>3646</v>
      </c>
      <c r="F109" s="52" t="s">
        <v>628</v>
      </c>
      <c r="G109" s="52" t="s">
        <v>213</v>
      </c>
      <c r="H109" s="52">
        <v>1</v>
      </c>
    </row>
    <row r="110" spans="1:8" ht="14.4" x14ac:dyDescent="0.3">
      <c r="A110" s="36">
        <v>905</v>
      </c>
      <c r="B110" s="36">
        <v>20020094087</v>
      </c>
      <c r="C110" s="36" t="s">
        <v>2245</v>
      </c>
      <c r="D110" s="36" t="s">
        <v>2142</v>
      </c>
      <c r="E110" s="36" t="s">
        <v>2237</v>
      </c>
      <c r="F110" s="36" t="s">
        <v>620</v>
      </c>
      <c r="G110" s="36" t="s">
        <v>244</v>
      </c>
      <c r="H110" s="36">
        <v>1</v>
      </c>
    </row>
    <row r="111" spans="1:8" ht="14.4" x14ac:dyDescent="0.3">
      <c r="A111" s="50">
        <v>906</v>
      </c>
      <c r="B111" s="51">
        <v>20001050160</v>
      </c>
      <c r="C111" s="52" t="s">
        <v>983</v>
      </c>
      <c r="D111" s="52" t="s">
        <v>1071</v>
      </c>
      <c r="E111" s="52" t="s">
        <v>2943</v>
      </c>
      <c r="F111" s="52" t="s">
        <v>628</v>
      </c>
      <c r="G111" s="52" t="s">
        <v>145</v>
      </c>
      <c r="H111" s="52">
        <v>1</v>
      </c>
    </row>
    <row r="112" spans="1:8" ht="14.4" x14ac:dyDescent="0.3">
      <c r="A112" s="50">
        <v>908</v>
      </c>
      <c r="B112" s="51">
        <v>20001260017</v>
      </c>
      <c r="C112" s="52" t="s">
        <v>1691</v>
      </c>
      <c r="D112" s="52" t="s">
        <v>1932</v>
      </c>
      <c r="E112" s="52" t="s">
        <v>1933</v>
      </c>
      <c r="F112" s="52" t="s">
        <v>618</v>
      </c>
      <c r="G112" s="52" t="s">
        <v>213</v>
      </c>
      <c r="H112" s="52">
        <v>1</v>
      </c>
    </row>
    <row r="113" spans="1:8" ht="14.4" x14ac:dyDescent="0.3">
      <c r="A113" s="50">
        <v>919</v>
      </c>
      <c r="B113" s="51">
        <v>20020040014</v>
      </c>
      <c r="C113" s="52" t="s">
        <v>2204</v>
      </c>
      <c r="D113" s="52" t="s">
        <v>1084</v>
      </c>
      <c r="E113" s="52" t="s">
        <v>2205</v>
      </c>
      <c r="F113" s="52" t="s">
        <v>618</v>
      </c>
      <c r="G113" s="52" t="s">
        <v>213</v>
      </c>
      <c r="H113" s="52">
        <v>1</v>
      </c>
    </row>
    <row r="114" spans="1:8" ht="14.4" x14ac:dyDescent="0.3">
      <c r="A114" s="50">
        <v>920</v>
      </c>
      <c r="B114" s="51">
        <v>20009001108</v>
      </c>
      <c r="C114" s="52" t="s">
        <v>2079</v>
      </c>
      <c r="D114" s="52" t="s">
        <v>1919</v>
      </c>
      <c r="E114" s="52" t="s">
        <v>1970</v>
      </c>
      <c r="F114" s="52" t="s">
        <v>628</v>
      </c>
      <c r="G114" s="52" t="s">
        <v>213</v>
      </c>
      <c r="H114" s="52">
        <v>1</v>
      </c>
    </row>
    <row r="115" spans="1:8" ht="14.4" x14ac:dyDescent="0.3">
      <c r="A115" s="50">
        <v>923</v>
      </c>
      <c r="B115" s="51">
        <v>20022001104</v>
      </c>
      <c r="C115" s="52" t="s">
        <v>2318</v>
      </c>
      <c r="D115" s="52" t="s">
        <v>2319</v>
      </c>
      <c r="E115" s="52" t="s">
        <v>3385</v>
      </c>
      <c r="F115" s="52" t="s">
        <v>620</v>
      </c>
      <c r="G115" s="52" t="s">
        <v>244</v>
      </c>
      <c r="H115" s="52">
        <v>1</v>
      </c>
    </row>
    <row r="116" spans="1:8" ht="14.4" x14ac:dyDescent="0.3">
      <c r="A116" s="36">
        <v>927</v>
      </c>
      <c r="B116" s="36">
        <v>20001054085</v>
      </c>
      <c r="C116" s="36" t="s">
        <v>1583</v>
      </c>
      <c r="D116" s="36" t="s">
        <v>1366</v>
      </c>
      <c r="E116" s="36" t="s">
        <v>1326</v>
      </c>
      <c r="F116" s="36" t="s">
        <v>620</v>
      </c>
      <c r="G116" s="36" t="s">
        <v>213</v>
      </c>
      <c r="H116" s="36">
        <v>1</v>
      </c>
    </row>
    <row r="117" spans="1:8" ht="14.4" x14ac:dyDescent="0.3">
      <c r="A117" s="50">
        <v>928</v>
      </c>
      <c r="B117" s="51">
        <v>20000570123</v>
      </c>
      <c r="C117" s="52" t="s">
        <v>1095</v>
      </c>
      <c r="D117" s="52" t="s">
        <v>1096</v>
      </c>
      <c r="E117" s="52" t="s">
        <v>1097</v>
      </c>
      <c r="F117" s="52" t="s">
        <v>620</v>
      </c>
      <c r="G117" s="52" t="s">
        <v>213</v>
      </c>
      <c r="H117" s="52">
        <v>1</v>
      </c>
    </row>
    <row r="118" spans="1:8" ht="14.4" x14ac:dyDescent="0.3">
      <c r="A118" s="50">
        <v>930</v>
      </c>
      <c r="B118" s="51">
        <v>20001052057</v>
      </c>
      <c r="C118" s="52" t="s">
        <v>1429</v>
      </c>
      <c r="D118" s="52" t="s">
        <v>1360</v>
      </c>
      <c r="E118" s="52" t="s">
        <v>1326</v>
      </c>
      <c r="F118" s="52" t="s">
        <v>1428</v>
      </c>
      <c r="G118" s="52" t="s">
        <v>213</v>
      </c>
      <c r="H118" s="52">
        <v>1</v>
      </c>
    </row>
    <row r="119" spans="1:8" ht="14.4" x14ac:dyDescent="0.3">
      <c r="A119" s="50">
        <v>936</v>
      </c>
      <c r="B119" s="51">
        <v>20000570123</v>
      </c>
      <c r="C119" s="52" t="s">
        <v>1103</v>
      </c>
      <c r="D119" s="52" t="s">
        <v>1104</v>
      </c>
      <c r="E119" s="52" t="s">
        <v>1031</v>
      </c>
      <c r="F119" s="52" t="s">
        <v>1086</v>
      </c>
      <c r="G119" s="52" t="s">
        <v>213</v>
      </c>
      <c r="H119" s="52">
        <v>1</v>
      </c>
    </row>
    <row r="120" spans="1:8" ht="14.4" x14ac:dyDescent="0.3">
      <c r="A120" s="50">
        <v>940</v>
      </c>
      <c r="B120" s="51">
        <v>20009001113</v>
      </c>
      <c r="C120" s="52" t="s">
        <v>2169</v>
      </c>
      <c r="D120" s="52" t="s">
        <v>1088</v>
      </c>
      <c r="E120" s="52" t="s">
        <v>1970</v>
      </c>
      <c r="F120" s="52" t="s">
        <v>1086</v>
      </c>
      <c r="G120" s="52" t="s">
        <v>213</v>
      </c>
      <c r="H120" s="52">
        <v>1</v>
      </c>
    </row>
    <row r="121" spans="1:8" ht="14.4" x14ac:dyDescent="0.3">
      <c r="A121" s="50">
        <v>950</v>
      </c>
      <c r="B121" s="51">
        <v>20000360010</v>
      </c>
      <c r="C121" s="52" t="s">
        <v>947</v>
      </c>
      <c r="D121" s="52" t="s">
        <v>948</v>
      </c>
      <c r="E121" s="52" t="s">
        <v>949</v>
      </c>
      <c r="F121" s="52" t="s">
        <v>664</v>
      </c>
      <c r="G121" s="52" t="s">
        <v>244</v>
      </c>
      <c r="H121" s="52">
        <v>1</v>
      </c>
    </row>
    <row r="122" spans="1:8" ht="14.4" x14ac:dyDescent="0.3">
      <c r="A122" s="50">
        <v>952</v>
      </c>
      <c r="B122" s="51">
        <v>20009001108</v>
      </c>
      <c r="C122" s="52" t="s">
        <v>2067</v>
      </c>
      <c r="D122" s="52" t="s">
        <v>2068</v>
      </c>
      <c r="E122" s="52" t="s">
        <v>1970</v>
      </c>
      <c r="F122" s="52" t="s">
        <v>628</v>
      </c>
      <c r="G122" s="52" t="s">
        <v>213</v>
      </c>
      <c r="H122" s="52">
        <v>1</v>
      </c>
    </row>
    <row r="123" spans="1:8" ht="14.4" x14ac:dyDescent="0.3">
      <c r="A123" s="50">
        <v>955</v>
      </c>
      <c r="B123" s="51">
        <v>20009001112</v>
      </c>
      <c r="C123" s="52" t="s">
        <v>2141</v>
      </c>
      <c r="D123" s="52" t="s">
        <v>2142</v>
      </c>
      <c r="E123" s="52" t="s">
        <v>1970</v>
      </c>
      <c r="F123" s="52" t="s">
        <v>620</v>
      </c>
      <c r="G123" s="52" t="s">
        <v>145</v>
      </c>
      <c r="H123" s="52">
        <v>1</v>
      </c>
    </row>
    <row r="124" spans="1:8" ht="14.4" x14ac:dyDescent="0.3">
      <c r="A124" s="50">
        <v>957</v>
      </c>
      <c r="B124" s="51">
        <v>20000570122</v>
      </c>
      <c r="C124" s="52" t="s">
        <v>1079</v>
      </c>
      <c r="D124" s="52" t="s">
        <v>1080</v>
      </c>
      <c r="E124" s="52" t="s">
        <v>3138</v>
      </c>
      <c r="F124" s="52" t="s">
        <v>628</v>
      </c>
      <c r="G124" s="52" t="s">
        <v>213</v>
      </c>
      <c r="H124" s="52">
        <v>1</v>
      </c>
    </row>
    <row r="125" spans="1:8" ht="14.4" x14ac:dyDescent="0.3">
      <c r="A125" s="50">
        <v>958</v>
      </c>
      <c r="B125" s="51">
        <v>20001054085</v>
      </c>
      <c r="C125" s="52" t="s">
        <v>1579</v>
      </c>
      <c r="D125" s="52" t="s">
        <v>1580</v>
      </c>
      <c r="E125" s="52" t="s">
        <v>1326</v>
      </c>
      <c r="F125" s="52" t="s">
        <v>620</v>
      </c>
      <c r="G125" s="52" t="s">
        <v>213</v>
      </c>
      <c r="H125" s="52">
        <v>1</v>
      </c>
    </row>
    <row r="126" spans="1:8" ht="14.4" x14ac:dyDescent="0.3">
      <c r="A126" s="50">
        <v>962</v>
      </c>
      <c r="B126" s="51">
        <v>20001140004</v>
      </c>
      <c r="C126" s="52" t="s">
        <v>1856</v>
      </c>
      <c r="D126" s="52" t="s">
        <v>1783</v>
      </c>
      <c r="E126" s="52" t="s">
        <v>1857</v>
      </c>
      <c r="F126" s="52" t="s">
        <v>618</v>
      </c>
      <c r="G126" s="52" t="s">
        <v>213</v>
      </c>
      <c r="H126" s="52">
        <v>1</v>
      </c>
    </row>
    <row r="127" spans="1:8" ht="14.4" x14ac:dyDescent="0.3">
      <c r="A127" s="50">
        <v>963</v>
      </c>
      <c r="B127" s="51">
        <v>20000950098</v>
      </c>
      <c r="C127" s="52" t="s">
        <v>1311</v>
      </c>
      <c r="D127" s="52" t="s">
        <v>1312</v>
      </c>
      <c r="E127" s="52" t="s">
        <v>1310</v>
      </c>
      <c r="F127" s="52" t="s">
        <v>1313</v>
      </c>
      <c r="G127" s="52" t="s">
        <v>244</v>
      </c>
      <c r="H127" s="52">
        <v>1</v>
      </c>
    </row>
    <row r="128" spans="1:8" ht="14.4" x14ac:dyDescent="0.3">
      <c r="A128" s="50">
        <v>964</v>
      </c>
      <c r="B128" s="51">
        <v>20000950098</v>
      </c>
      <c r="C128" s="52" t="s">
        <v>1311</v>
      </c>
      <c r="D128" s="52" t="s">
        <v>828</v>
      </c>
      <c r="E128" s="52" t="s">
        <v>1310</v>
      </c>
      <c r="F128" s="52" t="s">
        <v>2765</v>
      </c>
      <c r="G128" s="52" t="s">
        <v>244</v>
      </c>
      <c r="H128" s="52">
        <v>1</v>
      </c>
    </row>
    <row r="129" spans="1:8" ht="14.4" x14ac:dyDescent="0.3">
      <c r="A129" s="50">
        <v>965</v>
      </c>
      <c r="B129" s="51">
        <v>20009001112</v>
      </c>
      <c r="C129" s="52" t="s">
        <v>2157</v>
      </c>
      <c r="D129" s="52" t="s">
        <v>1088</v>
      </c>
      <c r="E129" s="52" t="s">
        <v>1970</v>
      </c>
      <c r="F129" s="52" t="s">
        <v>620</v>
      </c>
      <c r="G129" s="52" t="s">
        <v>213</v>
      </c>
      <c r="H129" s="52">
        <v>1</v>
      </c>
    </row>
    <row r="130" spans="1:8" ht="14.4" x14ac:dyDescent="0.3">
      <c r="A130" s="50">
        <v>974</v>
      </c>
      <c r="B130" s="51">
        <v>20000650029</v>
      </c>
      <c r="C130" s="52" t="s">
        <v>1198</v>
      </c>
      <c r="D130" s="52" t="s">
        <v>1178</v>
      </c>
      <c r="E130" s="52" t="s">
        <v>1046</v>
      </c>
      <c r="F130" s="52" t="s">
        <v>618</v>
      </c>
      <c r="G130" s="52" t="s">
        <v>244</v>
      </c>
      <c r="H130" s="52">
        <v>1</v>
      </c>
    </row>
    <row r="131" spans="1:8" ht="14.4" x14ac:dyDescent="0.3">
      <c r="A131" s="50">
        <v>977</v>
      </c>
      <c r="B131" s="51">
        <v>20009001108</v>
      </c>
      <c r="C131" s="52" t="s">
        <v>2082</v>
      </c>
      <c r="D131" s="52" t="s">
        <v>2083</v>
      </c>
      <c r="E131" s="52" t="s">
        <v>1970</v>
      </c>
      <c r="F131" s="52" t="s">
        <v>628</v>
      </c>
      <c r="G131" s="52" t="s">
        <v>244</v>
      </c>
      <c r="H131" s="52">
        <v>1</v>
      </c>
    </row>
    <row r="132" spans="1:8" ht="14.4" x14ac:dyDescent="0.3">
      <c r="A132" s="50">
        <v>978</v>
      </c>
      <c r="B132" s="51">
        <v>20001103084</v>
      </c>
      <c r="C132" s="52" t="s">
        <v>979</v>
      </c>
      <c r="D132" s="52" t="s">
        <v>1164</v>
      </c>
      <c r="E132" s="52" t="s">
        <v>3792</v>
      </c>
      <c r="F132" s="52" t="s">
        <v>1313</v>
      </c>
      <c r="G132" s="52" t="s">
        <v>213</v>
      </c>
      <c r="H132" s="52">
        <v>1</v>
      </c>
    </row>
    <row r="133" spans="1:8" ht="14.4" x14ac:dyDescent="0.3">
      <c r="A133" s="50">
        <v>983</v>
      </c>
      <c r="B133" s="51">
        <v>20000650029</v>
      </c>
      <c r="C133" s="52" t="s">
        <v>901</v>
      </c>
      <c r="D133" s="52" t="s">
        <v>1142</v>
      </c>
      <c r="E133" s="52" t="s">
        <v>1193</v>
      </c>
      <c r="F133" s="52" t="s">
        <v>618</v>
      </c>
      <c r="G133" s="52" t="s">
        <v>213</v>
      </c>
      <c r="H133" s="52">
        <v>1</v>
      </c>
    </row>
    <row r="134" spans="1:8" ht="14.4" x14ac:dyDescent="0.3">
      <c r="A134" s="50">
        <v>988</v>
      </c>
      <c r="B134" s="51">
        <v>20000650027</v>
      </c>
      <c r="C134" s="52" t="s">
        <v>1157</v>
      </c>
      <c r="D134" s="52" t="s">
        <v>1158</v>
      </c>
      <c r="E134" s="52" t="s">
        <v>3389</v>
      </c>
      <c r="F134" s="52" t="s">
        <v>618</v>
      </c>
      <c r="G134" s="52" t="s">
        <v>213</v>
      </c>
      <c r="H134" s="52">
        <v>1</v>
      </c>
    </row>
    <row r="135" spans="1:8" ht="14.4" x14ac:dyDescent="0.3">
      <c r="A135" s="50">
        <v>989</v>
      </c>
      <c r="B135" s="51">
        <v>20001260017</v>
      </c>
      <c r="C135" s="52" t="s">
        <v>1931</v>
      </c>
      <c r="D135" s="52" t="s">
        <v>1124</v>
      </c>
      <c r="E135" s="52" t="s">
        <v>1895</v>
      </c>
      <c r="F135" s="52" t="s">
        <v>618</v>
      </c>
      <c r="G135" s="52" t="s">
        <v>213</v>
      </c>
      <c r="H135" s="52">
        <v>1</v>
      </c>
    </row>
    <row r="136" spans="1:8" ht="14.4" x14ac:dyDescent="0.3">
      <c r="A136" s="50">
        <v>990</v>
      </c>
      <c r="B136" s="51">
        <v>20001052065</v>
      </c>
      <c r="C136" s="52" t="s">
        <v>937</v>
      </c>
      <c r="D136" s="52" t="s">
        <v>1505</v>
      </c>
      <c r="E136" s="52" t="s">
        <v>1326</v>
      </c>
      <c r="F136" s="52" t="s">
        <v>628</v>
      </c>
      <c r="G136" s="52" t="s">
        <v>213</v>
      </c>
      <c r="H136" s="52">
        <v>1</v>
      </c>
    </row>
    <row r="137" spans="1:8" ht="14.4" x14ac:dyDescent="0.3">
      <c r="A137" s="50">
        <v>993</v>
      </c>
      <c r="B137" s="51">
        <v>20001104088</v>
      </c>
      <c r="C137" s="52" t="s">
        <v>1809</v>
      </c>
      <c r="D137" s="52" t="s">
        <v>1810</v>
      </c>
      <c r="E137" s="52" t="s">
        <v>1675</v>
      </c>
      <c r="F137" s="52" t="s">
        <v>620</v>
      </c>
      <c r="G137" s="52" t="s">
        <v>244</v>
      </c>
      <c r="H137" s="52">
        <v>1</v>
      </c>
    </row>
    <row r="138" spans="1:8" ht="14.4" x14ac:dyDescent="0.3">
      <c r="A138" s="50">
        <v>997</v>
      </c>
      <c r="B138" s="51">
        <v>20001053075</v>
      </c>
      <c r="C138" s="52" t="s">
        <v>1548</v>
      </c>
      <c r="D138" s="52" t="s">
        <v>1549</v>
      </c>
      <c r="E138" s="52" t="s">
        <v>1326</v>
      </c>
      <c r="F138" s="52" t="s">
        <v>1313</v>
      </c>
      <c r="G138" s="52" t="s">
        <v>213</v>
      </c>
      <c r="H138" s="52">
        <v>1</v>
      </c>
    </row>
    <row r="139" spans="1:8" ht="14.4" x14ac:dyDescent="0.3">
      <c r="A139" s="50">
        <v>1005</v>
      </c>
      <c r="B139" s="51">
        <v>20000650029</v>
      </c>
      <c r="C139" s="52" t="s">
        <v>636</v>
      </c>
      <c r="D139" s="52" t="s">
        <v>1194</v>
      </c>
      <c r="E139" s="52" t="s">
        <v>1046</v>
      </c>
      <c r="F139" s="52" t="s">
        <v>618</v>
      </c>
      <c r="G139" s="52" t="s">
        <v>244</v>
      </c>
      <c r="H139" s="52">
        <v>1</v>
      </c>
    </row>
    <row r="140" spans="1:8" ht="14.4" x14ac:dyDescent="0.3">
      <c r="A140" s="50">
        <v>1008</v>
      </c>
      <c r="B140" s="51">
        <v>20001290018</v>
      </c>
      <c r="C140" s="52" t="s">
        <v>1934</v>
      </c>
      <c r="D140" s="52" t="s">
        <v>1935</v>
      </c>
      <c r="E140" s="52" t="s">
        <v>3827</v>
      </c>
      <c r="F140" s="52" t="s">
        <v>618</v>
      </c>
      <c r="G140" s="52" t="s">
        <v>213</v>
      </c>
      <c r="H140" s="52">
        <v>1</v>
      </c>
    </row>
    <row r="141" spans="1:8" ht="14.4" x14ac:dyDescent="0.3">
      <c r="A141" s="50">
        <v>1009</v>
      </c>
      <c r="B141" s="51">
        <v>20000330010</v>
      </c>
      <c r="C141" s="52" t="s">
        <v>926</v>
      </c>
      <c r="D141" s="52" t="s">
        <v>733</v>
      </c>
      <c r="E141" s="52" t="s">
        <v>2924</v>
      </c>
      <c r="F141" s="52" t="s">
        <v>664</v>
      </c>
      <c r="G141" s="52" t="s">
        <v>213</v>
      </c>
      <c r="H141" s="52">
        <v>1</v>
      </c>
    </row>
    <row r="142" spans="1:8" ht="14.4" x14ac:dyDescent="0.3">
      <c r="A142" s="50">
        <v>1010</v>
      </c>
      <c r="B142" s="51">
        <v>20000500003</v>
      </c>
      <c r="C142" s="52" t="s">
        <v>979</v>
      </c>
      <c r="D142" s="52" t="s">
        <v>746</v>
      </c>
      <c r="E142" s="52" t="s">
        <v>972</v>
      </c>
      <c r="F142" s="52" t="s">
        <v>618</v>
      </c>
      <c r="G142" s="52" t="s">
        <v>244</v>
      </c>
      <c r="H142" s="52">
        <v>1</v>
      </c>
    </row>
    <row r="143" spans="1:8" ht="14.4" x14ac:dyDescent="0.3">
      <c r="A143" s="50">
        <v>1012</v>
      </c>
      <c r="B143" s="51">
        <v>20001054085</v>
      </c>
      <c r="C143" s="52" t="s">
        <v>1572</v>
      </c>
      <c r="D143" s="52" t="s">
        <v>1573</v>
      </c>
      <c r="E143" s="52" t="s">
        <v>1574</v>
      </c>
      <c r="F143" s="52" t="s">
        <v>620</v>
      </c>
      <c r="G143" s="52" t="s">
        <v>244</v>
      </c>
      <c r="H143" s="52">
        <v>1</v>
      </c>
    </row>
    <row r="144" spans="1:8" ht="14.4" x14ac:dyDescent="0.3">
      <c r="A144" s="50">
        <v>1019</v>
      </c>
      <c r="B144" s="51">
        <v>20001102064</v>
      </c>
      <c r="C144" s="52" t="s">
        <v>1705</v>
      </c>
      <c r="D144" s="52" t="s">
        <v>1706</v>
      </c>
      <c r="E144" s="52" t="s">
        <v>3390</v>
      </c>
      <c r="F144" s="52" t="s">
        <v>1441</v>
      </c>
      <c r="G144" s="52" t="s">
        <v>244</v>
      </c>
      <c r="H144" s="52">
        <v>0.4</v>
      </c>
    </row>
    <row r="145" spans="1:8" ht="14.4" x14ac:dyDescent="0.3">
      <c r="A145" s="50">
        <v>1022</v>
      </c>
      <c r="B145" s="51">
        <v>20020120015</v>
      </c>
      <c r="C145" s="52" t="s">
        <v>2278</v>
      </c>
      <c r="D145" s="52" t="s">
        <v>1559</v>
      </c>
      <c r="E145" s="52" t="s">
        <v>2237</v>
      </c>
      <c r="F145" s="52" t="s">
        <v>618</v>
      </c>
      <c r="G145" s="52" t="s">
        <v>213</v>
      </c>
      <c r="H145" s="52">
        <v>1</v>
      </c>
    </row>
    <row r="146" spans="1:8" ht="14.4" x14ac:dyDescent="0.3">
      <c r="A146" s="50">
        <v>1027</v>
      </c>
      <c r="B146" s="51">
        <v>20001350113</v>
      </c>
      <c r="C146" s="52" t="s">
        <v>1955</v>
      </c>
      <c r="D146" s="52" t="s">
        <v>1149</v>
      </c>
      <c r="E146" s="52" t="s">
        <v>3072</v>
      </c>
      <c r="F146" s="52" t="s">
        <v>618</v>
      </c>
      <c r="G146" s="52" t="s">
        <v>213</v>
      </c>
      <c r="H146" s="52">
        <v>1</v>
      </c>
    </row>
    <row r="147" spans="1:8" ht="14.4" x14ac:dyDescent="0.3">
      <c r="A147" s="50">
        <v>1028</v>
      </c>
      <c r="B147" s="51">
        <v>20001260017</v>
      </c>
      <c r="C147" s="52" t="s">
        <v>1905</v>
      </c>
      <c r="D147" s="52" t="s">
        <v>1906</v>
      </c>
      <c r="E147" s="52" t="s">
        <v>1907</v>
      </c>
      <c r="F147" s="52" t="s">
        <v>618</v>
      </c>
      <c r="G147" s="52" t="s">
        <v>244</v>
      </c>
      <c r="H147" s="52">
        <v>1</v>
      </c>
    </row>
    <row r="148" spans="1:8" ht="14.4" x14ac:dyDescent="0.3">
      <c r="A148" s="50">
        <v>1033</v>
      </c>
      <c r="B148" s="51">
        <v>20000560013</v>
      </c>
      <c r="C148" s="52" t="s">
        <v>1022</v>
      </c>
      <c r="D148" s="52" t="s">
        <v>934</v>
      </c>
      <c r="E148" s="52" t="s">
        <v>3391</v>
      </c>
      <c r="F148" s="52" t="s">
        <v>618</v>
      </c>
      <c r="G148" s="52" t="s">
        <v>244</v>
      </c>
      <c r="H148" s="52">
        <v>0.8</v>
      </c>
    </row>
    <row r="149" spans="1:8" ht="14.4" x14ac:dyDescent="0.3">
      <c r="A149" s="50">
        <v>1034</v>
      </c>
      <c r="B149" s="51">
        <v>20001053075</v>
      </c>
      <c r="C149" s="52" t="s">
        <v>1556</v>
      </c>
      <c r="D149" s="52" t="s">
        <v>635</v>
      </c>
      <c r="E149" s="52" t="s">
        <v>1326</v>
      </c>
      <c r="F149" s="52" t="s">
        <v>1313</v>
      </c>
      <c r="G149" s="52" t="s">
        <v>213</v>
      </c>
      <c r="H149" s="52">
        <v>1</v>
      </c>
    </row>
    <row r="150" spans="1:8" ht="14.4" x14ac:dyDescent="0.3">
      <c r="A150" s="50">
        <v>1040</v>
      </c>
      <c r="B150" s="51">
        <v>20001350113</v>
      </c>
      <c r="C150" s="52" t="s">
        <v>1953</v>
      </c>
      <c r="D150" s="52" t="s">
        <v>1954</v>
      </c>
      <c r="E150" s="52" t="s">
        <v>1949</v>
      </c>
      <c r="F150" s="52" t="s">
        <v>618</v>
      </c>
      <c r="G150" s="52" t="s">
        <v>213</v>
      </c>
      <c r="H150" s="52">
        <v>1</v>
      </c>
    </row>
    <row r="151" spans="1:8" ht="14.4" x14ac:dyDescent="0.3">
      <c r="A151" s="50">
        <v>1041</v>
      </c>
      <c r="B151" s="51">
        <v>20000630026</v>
      </c>
      <c r="C151" s="52" t="s">
        <v>1950</v>
      </c>
      <c r="D151" s="52" t="s">
        <v>1951</v>
      </c>
      <c r="E151" s="52" t="s">
        <v>3392</v>
      </c>
      <c r="F151" s="52" t="s">
        <v>618</v>
      </c>
      <c r="G151" s="52" t="s">
        <v>213</v>
      </c>
      <c r="H151" s="52">
        <v>1</v>
      </c>
    </row>
    <row r="152" spans="1:8" ht="14.4" x14ac:dyDescent="0.3">
      <c r="A152" s="50">
        <v>1042</v>
      </c>
      <c r="B152" s="51">
        <v>20000310010</v>
      </c>
      <c r="C152" s="52" t="s">
        <v>703</v>
      </c>
      <c r="D152" s="52" t="s">
        <v>704</v>
      </c>
      <c r="E152" s="52" t="s">
        <v>2922</v>
      </c>
      <c r="F152" s="52" t="s">
        <v>664</v>
      </c>
      <c r="G152" s="52" t="s">
        <v>213</v>
      </c>
      <c r="H152" s="52">
        <v>1</v>
      </c>
    </row>
    <row r="153" spans="1:8" ht="14.4" x14ac:dyDescent="0.3">
      <c r="A153" s="50">
        <v>1053</v>
      </c>
      <c r="B153" s="51">
        <v>20009001112</v>
      </c>
      <c r="C153" s="52" t="s">
        <v>2145</v>
      </c>
      <c r="D153" s="52" t="s">
        <v>887</v>
      </c>
      <c r="E153" s="52" t="s">
        <v>3393</v>
      </c>
      <c r="F153" s="52" t="s">
        <v>620</v>
      </c>
      <c r="G153" s="52" t="s">
        <v>244</v>
      </c>
      <c r="H153" s="52">
        <v>1</v>
      </c>
    </row>
    <row r="154" spans="1:8" ht="14.4" x14ac:dyDescent="0.3">
      <c r="A154" s="50">
        <v>1059</v>
      </c>
      <c r="B154" s="51">
        <v>20001052065</v>
      </c>
      <c r="C154" s="52" t="s">
        <v>2814</v>
      </c>
      <c r="D154" s="52" t="s">
        <v>1156</v>
      </c>
      <c r="E154" s="52" t="s">
        <v>1326</v>
      </c>
      <c r="F154" s="52" t="s">
        <v>628</v>
      </c>
      <c r="G154" s="52" t="s">
        <v>213</v>
      </c>
      <c r="H154" s="52">
        <v>1</v>
      </c>
    </row>
    <row r="155" spans="1:8" ht="14.4" x14ac:dyDescent="0.3">
      <c r="A155" s="50">
        <v>1060</v>
      </c>
      <c r="B155" s="51">
        <v>20001054089</v>
      </c>
      <c r="C155" s="52" t="s">
        <v>1617</v>
      </c>
      <c r="D155" s="52" t="s">
        <v>1618</v>
      </c>
      <c r="E155" s="52" t="s">
        <v>1326</v>
      </c>
      <c r="F155" s="52" t="s">
        <v>1086</v>
      </c>
      <c r="G155" s="52" t="s">
        <v>213</v>
      </c>
      <c r="H155" s="52">
        <v>1</v>
      </c>
    </row>
    <row r="156" spans="1:8" ht="14.4" x14ac:dyDescent="0.3">
      <c r="A156" s="50">
        <v>1061</v>
      </c>
      <c r="B156" s="51">
        <v>20001104092</v>
      </c>
      <c r="C156" s="52" t="s">
        <v>1828</v>
      </c>
      <c r="D156" s="52" t="s">
        <v>1589</v>
      </c>
      <c r="E156" s="52" t="s">
        <v>1333</v>
      </c>
      <c r="F156" s="52" t="s">
        <v>1086</v>
      </c>
      <c r="G156" s="52" t="s">
        <v>213</v>
      </c>
      <c r="H156" s="52">
        <v>1</v>
      </c>
    </row>
    <row r="157" spans="1:8" ht="14.4" x14ac:dyDescent="0.3">
      <c r="A157" s="50">
        <v>1062</v>
      </c>
      <c r="B157" s="51">
        <v>20001054089</v>
      </c>
      <c r="C157" s="52" t="s">
        <v>1576</v>
      </c>
      <c r="D157" s="52" t="s">
        <v>1570</v>
      </c>
      <c r="E157" s="52" t="s">
        <v>1326</v>
      </c>
      <c r="F157" s="52" t="s">
        <v>1086</v>
      </c>
      <c r="G157" s="52" t="s">
        <v>213</v>
      </c>
      <c r="H157" s="52">
        <v>1</v>
      </c>
    </row>
    <row r="158" spans="1:8" ht="14.4" x14ac:dyDescent="0.3">
      <c r="A158" s="50">
        <v>1063</v>
      </c>
      <c r="B158" s="51">
        <v>20009001106</v>
      </c>
      <c r="C158" s="52" t="s">
        <v>2032</v>
      </c>
      <c r="D158" s="52" t="s">
        <v>2033</v>
      </c>
      <c r="E158" s="52" t="s">
        <v>1970</v>
      </c>
      <c r="F158" s="52" t="s">
        <v>1428</v>
      </c>
      <c r="G158" s="52" t="s">
        <v>213</v>
      </c>
      <c r="H158" s="52">
        <v>1</v>
      </c>
    </row>
    <row r="159" spans="1:8" ht="14.4" x14ac:dyDescent="0.3">
      <c r="A159" s="50">
        <v>1066</v>
      </c>
      <c r="B159" s="51">
        <v>20021052110</v>
      </c>
      <c r="C159" s="52" t="s">
        <v>2292</v>
      </c>
      <c r="D159" s="52" t="s">
        <v>1557</v>
      </c>
      <c r="E159" s="52" t="s">
        <v>2289</v>
      </c>
      <c r="F159" s="52" t="s">
        <v>1313</v>
      </c>
      <c r="G159" s="52" t="s">
        <v>244</v>
      </c>
      <c r="H159" s="52">
        <v>1</v>
      </c>
    </row>
    <row r="160" spans="1:8" ht="14.4" x14ac:dyDescent="0.3">
      <c r="A160" s="50">
        <v>1086</v>
      </c>
      <c r="B160" s="51">
        <v>20001350113</v>
      </c>
      <c r="C160" s="52" t="s">
        <v>1946</v>
      </c>
      <c r="D160" s="52" t="s">
        <v>1947</v>
      </c>
      <c r="E160" s="52" t="s">
        <v>1960</v>
      </c>
      <c r="F160" s="52" t="s">
        <v>618</v>
      </c>
      <c r="G160" s="52" t="s">
        <v>213</v>
      </c>
      <c r="H160" s="52">
        <v>1</v>
      </c>
    </row>
    <row r="161" spans="1:8" ht="14.4" x14ac:dyDescent="0.3">
      <c r="A161" s="50">
        <v>1088</v>
      </c>
      <c r="B161" s="51">
        <v>20001054085</v>
      </c>
      <c r="C161" s="52" t="s">
        <v>1594</v>
      </c>
      <c r="D161" s="52" t="s">
        <v>1595</v>
      </c>
      <c r="E161" s="52" t="s">
        <v>1326</v>
      </c>
      <c r="F161" s="52" t="s">
        <v>620</v>
      </c>
      <c r="G161" s="52" t="s">
        <v>213</v>
      </c>
      <c r="H161" s="52">
        <v>1</v>
      </c>
    </row>
    <row r="162" spans="1:8" ht="14.4" x14ac:dyDescent="0.3">
      <c r="A162" s="50">
        <v>1096</v>
      </c>
      <c r="B162" s="51">
        <v>20020092067</v>
      </c>
      <c r="C162" s="52" t="s">
        <v>1518</v>
      </c>
      <c r="D162" s="52" t="s">
        <v>1164</v>
      </c>
      <c r="E162" s="52" t="s">
        <v>2874</v>
      </c>
      <c r="F162" s="52" t="s">
        <v>628</v>
      </c>
      <c r="G162" s="52" t="s">
        <v>213</v>
      </c>
      <c r="H162" s="52">
        <v>1</v>
      </c>
    </row>
    <row r="163" spans="1:8" ht="14.4" x14ac:dyDescent="0.3">
      <c r="A163" s="50">
        <v>1102</v>
      </c>
      <c r="B163" s="51">
        <v>20009001110</v>
      </c>
      <c r="C163" s="52" t="s">
        <v>2441</v>
      </c>
      <c r="D163" s="52" t="s">
        <v>2766</v>
      </c>
      <c r="E163" s="52" t="s">
        <v>1970</v>
      </c>
      <c r="F163" s="52" t="s">
        <v>1313</v>
      </c>
      <c r="G163" s="52" t="s">
        <v>244</v>
      </c>
      <c r="H163" s="52">
        <v>1</v>
      </c>
    </row>
    <row r="164" spans="1:8" ht="14.4" x14ac:dyDescent="0.3">
      <c r="A164" s="50">
        <v>1104</v>
      </c>
      <c r="B164" s="51">
        <v>20000360010</v>
      </c>
      <c r="C164" s="52" t="s">
        <v>711</v>
      </c>
      <c r="D164" s="52" t="s">
        <v>712</v>
      </c>
      <c r="E164" s="52" t="s">
        <v>3547</v>
      </c>
      <c r="F164" s="52" t="s">
        <v>664</v>
      </c>
      <c r="G164" s="52" t="s">
        <v>213</v>
      </c>
      <c r="H164" s="52">
        <v>1</v>
      </c>
    </row>
    <row r="165" spans="1:8" ht="14.4" x14ac:dyDescent="0.3">
      <c r="A165" s="50">
        <v>1105</v>
      </c>
      <c r="B165" s="51">
        <v>20000530021</v>
      </c>
      <c r="C165" s="52" t="s">
        <v>1004</v>
      </c>
      <c r="D165" s="52" t="s">
        <v>699</v>
      </c>
      <c r="E165" s="52" t="s">
        <v>1005</v>
      </c>
      <c r="F165" s="52" t="s">
        <v>618</v>
      </c>
      <c r="G165" s="52" t="s">
        <v>244</v>
      </c>
      <c r="H165" s="52">
        <v>1</v>
      </c>
    </row>
    <row r="166" spans="1:8" ht="14.4" x14ac:dyDescent="0.3">
      <c r="A166" s="50">
        <v>1107</v>
      </c>
      <c r="B166" s="51">
        <v>20000520019</v>
      </c>
      <c r="C166" s="52" t="s">
        <v>993</v>
      </c>
      <c r="D166" s="52" t="s">
        <v>994</v>
      </c>
      <c r="E166" s="52" t="s">
        <v>995</v>
      </c>
      <c r="F166" s="52" t="s">
        <v>618</v>
      </c>
      <c r="G166" s="52" t="s">
        <v>244</v>
      </c>
      <c r="H166" s="52">
        <v>1</v>
      </c>
    </row>
    <row r="167" spans="1:8" ht="14.4" x14ac:dyDescent="0.3">
      <c r="A167" s="50">
        <v>1110</v>
      </c>
      <c r="B167" s="51">
        <v>20000110106</v>
      </c>
      <c r="C167" s="52" t="s">
        <v>647</v>
      </c>
      <c r="D167" s="52" t="s">
        <v>648</v>
      </c>
      <c r="E167" s="52" t="s">
        <v>633</v>
      </c>
      <c r="F167" s="52" t="s">
        <v>620</v>
      </c>
      <c r="G167" s="52" t="s">
        <v>213</v>
      </c>
      <c r="H167" s="52">
        <v>1</v>
      </c>
    </row>
    <row r="168" spans="1:8" ht="14.4" x14ac:dyDescent="0.3">
      <c r="A168" s="50">
        <v>1111</v>
      </c>
      <c r="B168" s="51">
        <v>20020112073</v>
      </c>
      <c r="C168" s="52" t="s">
        <v>2266</v>
      </c>
      <c r="D168" s="52" t="s">
        <v>672</v>
      </c>
      <c r="E168" s="52" t="s">
        <v>2237</v>
      </c>
      <c r="F168" s="52" t="s">
        <v>628</v>
      </c>
      <c r="G168" s="52" t="s">
        <v>213</v>
      </c>
      <c r="H168" s="52">
        <v>1</v>
      </c>
    </row>
    <row r="169" spans="1:8" ht="14.4" x14ac:dyDescent="0.3">
      <c r="A169" s="50">
        <v>1112</v>
      </c>
      <c r="B169" s="51">
        <v>20000310010</v>
      </c>
      <c r="C169" s="52" t="s">
        <v>682</v>
      </c>
      <c r="D169" s="52" t="s">
        <v>668</v>
      </c>
      <c r="E169" s="52" t="s">
        <v>2925</v>
      </c>
      <c r="F169" s="52" t="s">
        <v>664</v>
      </c>
      <c r="G169" s="52" t="s">
        <v>213</v>
      </c>
      <c r="H169" s="52">
        <v>1</v>
      </c>
    </row>
    <row r="170" spans="1:8" ht="14.4" x14ac:dyDescent="0.3">
      <c r="A170" s="50">
        <v>1113</v>
      </c>
      <c r="B170" s="51">
        <v>20001054085</v>
      </c>
      <c r="C170" s="52" t="s">
        <v>1601</v>
      </c>
      <c r="D170" s="52" t="s">
        <v>1602</v>
      </c>
      <c r="E170" s="52" t="s">
        <v>3394</v>
      </c>
      <c r="F170" s="52" t="s">
        <v>620</v>
      </c>
      <c r="G170" s="52" t="s">
        <v>244</v>
      </c>
      <c r="H170" s="52">
        <v>1</v>
      </c>
    </row>
    <row r="171" spans="1:8" ht="14.4" x14ac:dyDescent="0.3">
      <c r="A171" s="50">
        <v>1116</v>
      </c>
      <c r="B171" s="51">
        <v>20001260017</v>
      </c>
      <c r="C171" s="52" t="s">
        <v>1904</v>
      </c>
      <c r="D171" s="52" t="s">
        <v>870</v>
      </c>
      <c r="E171" s="52" t="s">
        <v>2964</v>
      </c>
      <c r="F171" s="52" t="s">
        <v>618</v>
      </c>
      <c r="G171" s="52" t="s">
        <v>244</v>
      </c>
      <c r="H171" s="52">
        <v>1</v>
      </c>
    </row>
    <row r="172" spans="1:8" ht="14.4" x14ac:dyDescent="0.3">
      <c r="A172" s="50">
        <v>1119</v>
      </c>
      <c r="B172" s="51">
        <v>20009001109</v>
      </c>
      <c r="C172" s="52" t="s">
        <v>1434</v>
      </c>
      <c r="D172" s="52" t="s">
        <v>1872</v>
      </c>
      <c r="E172" s="52" t="s">
        <v>1970</v>
      </c>
      <c r="F172" s="52" t="s">
        <v>1532</v>
      </c>
      <c r="G172" s="52" t="s">
        <v>244</v>
      </c>
      <c r="H172" s="52">
        <v>1</v>
      </c>
    </row>
    <row r="173" spans="1:8" ht="14.4" x14ac:dyDescent="0.3">
      <c r="A173" s="50">
        <v>1121</v>
      </c>
      <c r="B173" s="51">
        <v>20001104088</v>
      </c>
      <c r="C173" s="52" t="s">
        <v>1576</v>
      </c>
      <c r="D173" s="52" t="s">
        <v>1798</v>
      </c>
      <c r="E173" s="52" t="s">
        <v>1799</v>
      </c>
      <c r="F173" s="52" t="s">
        <v>620</v>
      </c>
      <c r="G173" s="52" t="s">
        <v>244</v>
      </c>
      <c r="H173" s="52">
        <v>1</v>
      </c>
    </row>
    <row r="174" spans="1:8" ht="14.4" x14ac:dyDescent="0.3">
      <c r="A174" s="50">
        <v>1126</v>
      </c>
      <c r="B174" s="51">
        <v>20000650027</v>
      </c>
      <c r="C174" s="52" t="s">
        <v>1190</v>
      </c>
      <c r="D174" s="52" t="s">
        <v>1191</v>
      </c>
      <c r="E174" s="52" t="s">
        <v>3395</v>
      </c>
      <c r="F174" s="52" t="s">
        <v>618</v>
      </c>
      <c r="G174" s="52" t="s">
        <v>244</v>
      </c>
      <c r="H174" s="52">
        <v>1</v>
      </c>
    </row>
    <row r="175" spans="1:8" ht="14.4" x14ac:dyDescent="0.3">
      <c r="A175" s="50">
        <v>1133</v>
      </c>
      <c r="B175" s="51">
        <v>20009001113</v>
      </c>
      <c r="C175" s="52" t="s">
        <v>1826</v>
      </c>
      <c r="D175" s="52" t="s">
        <v>887</v>
      </c>
      <c r="E175" s="52" t="s">
        <v>1970</v>
      </c>
      <c r="F175" s="52" t="s">
        <v>1086</v>
      </c>
      <c r="G175" s="52" t="s">
        <v>213</v>
      </c>
      <c r="H175" s="52">
        <v>1</v>
      </c>
    </row>
    <row r="176" spans="1:8" ht="14.4" x14ac:dyDescent="0.3">
      <c r="A176" s="50">
        <v>1139</v>
      </c>
      <c r="B176" s="51">
        <v>20009001106</v>
      </c>
      <c r="C176" s="52" t="s">
        <v>2024</v>
      </c>
      <c r="D176" s="52" t="s">
        <v>1582</v>
      </c>
      <c r="E176" s="52" t="s">
        <v>1970</v>
      </c>
      <c r="F176" s="52" t="s">
        <v>1428</v>
      </c>
      <c r="G176" s="52" t="s">
        <v>244</v>
      </c>
      <c r="H176" s="52">
        <v>1</v>
      </c>
    </row>
    <row r="177" spans="1:8" ht="14.4" x14ac:dyDescent="0.3">
      <c r="A177" s="50">
        <v>1141</v>
      </c>
      <c r="B177" s="51">
        <v>20001260017</v>
      </c>
      <c r="C177" s="52" t="s">
        <v>1890</v>
      </c>
      <c r="D177" s="52" t="s">
        <v>1891</v>
      </c>
      <c r="E177" s="52" t="s">
        <v>1892</v>
      </c>
      <c r="F177" s="52" t="s">
        <v>618</v>
      </c>
      <c r="G177" s="52" t="s">
        <v>244</v>
      </c>
      <c r="H177" s="52">
        <v>1</v>
      </c>
    </row>
    <row r="178" spans="1:8" ht="14.4" x14ac:dyDescent="0.3">
      <c r="A178" s="50">
        <v>1142</v>
      </c>
      <c r="B178" s="51">
        <v>20009001113</v>
      </c>
      <c r="C178" s="52" t="s">
        <v>1836</v>
      </c>
      <c r="D178" s="52" t="s">
        <v>870</v>
      </c>
      <c r="E178" s="52" t="s">
        <v>1970</v>
      </c>
      <c r="F178" s="52" t="s">
        <v>1086</v>
      </c>
      <c r="G178" s="52" t="s">
        <v>244</v>
      </c>
      <c r="H178" s="52">
        <v>1</v>
      </c>
    </row>
    <row r="179" spans="1:8" ht="14.4" x14ac:dyDescent="0.3">
      <c r="A179" s="50">
        <v>1143</v>
      </c>
      <c r="B179" s="51">
        <v>20009001113</v>
      </c>
      <c r="C179" s="52" t="s">
        <v>851</v>
      </c>
      <c r="D179" s="52" t="s">
        <v>1088</v>
      </c>
      <c r="E179" s="52" t="s">
        <v>1970</v>
      </c>
      <c r="F179" s="52" t="s">
        <v>1086</v>
      </c>
      <c r="G179" s="52" t="s">
        <v>213</v>
      </c>
      <c r="H179" s="52">
        <v>1</v>
      </c>
    </row>
    <row r="180" spans="1:8" ht="14.4" x14ac:dyDescent="0.3">
      <c r="A180" s="50">
        <v>1144</v>
      </c>
      <c r="B180" s="51">
        <v>20001100108</v>
      </c>
      <c r="C180" s="52" t="s">
        <v>836</v>
      </c>
      <c r="D180" s="52" t="s">
        <v>1042</v>
      </c>
      <c r="E180" s="52" t="s">
        <v>3338</v>
      </c>
      <c r="F180" s="52" t="s">
        <v>1428</v>
      </c>
      <c r="G180" s="52" t="s">
        <v>244</v>
      </c>
      <c r="H180" s="52">
        <v>1</v>
      </c>
    </row>
    <row r="181" spans="1:8" ht="14.4" x14ac:dyDescent="0.3">
      <c r="A181" s="50">
        <v>1146</v>
      </c>
      <c r="B181" s="51">
        <v>20000340010</v>
      </c>
      <c r="C181" s="52" t="s">
        <v>922</v>
      </c>
      <c r="D181" s="52" t="s">
        <v>923</v>
      </c>
      <c r="E181" s="52" t="s">
        <v>2923</v>
      </c>
      <c r="F181" s="52" t="s">
        <v>664</v>
      </c>
      <c r="G181" s="52" t="s">
        <v>145</v>
      </c>
      <c r="H181" s="52">
        <v>1</v>
      </c>
    </row>
    <row r="182" spans="1:8" ht="14.4" x14ac:dyDescent="0.3">
      <c r="A182" s="50">
        <v>1150</v>
      </c>
      <c r="B182" s="51">
        <v>20000950132</v>
      </c>
      <c r="C182" s="52" t="s">
        <v>799</v>
      </c>
      <c r="D182" s="52" t="s">
        <v>700</v>
      </c>
      <c r="E182" s="52" t="s">
        <v>2767</v>
      </c>
      <c r="F182" s="52" t="s">
        <v>2765</v>
      </c>
      <c r="G182" s="52" t="s">
        <v>213</v>
      </c>
      <c r="H182" s="52">
        <v>1</v>
      </c>
    </row>
    <row r="183" spans="1:8" ht="14.4" x14ac:dyDescent="0.3">
      <c r="A183" s="50">
        <v>1153</v>
      </c>
      <c r="B183" s="51">
        <v>20001350113</v>
      </c>
      <c r="C183" s="52" t="s">
        <v>2525</v>
      </c>
      <c r="D183" s="52" t="s">
        <v>2526</v>
      </c>
      <c r="E183" s="52" t="s">
        <v>1948</v>
      </c>
      <c r="F183" s="52" t="s">
        <v>618</v>
      </c>
      <c r="G183" s="52" t="s">
        <v>244</v>
      </c>
      <c r="H183" s="52">
        <v>1</v>
      </c>
    </row>
    <row r="184" spans="1:8" ht="14.4" x14ac:dyDescent="0.3">
      <c r="A184" s="50">
        <v>1155</v>
      </c>
      <c r="B184" s="51">
        <v>20001140004</v>
      </c>
      <c r="C184" s="52" t="s">
        <v>1839</v>
      </c>
      <c r="D184" s="52" t="s">
        <v>1418</v>
      </c>
      <c r="E184" s="52" t="s">
        <v>3688</v>
      </c>
      <c r="F184" s="52" t="s">
        <v>618</v>
      </c>
      <c r="G184" s="52" t="s">
        <v>213</v>
      </c>
      <c r="H184" s="52">
        <v>1</v>
      </c>
    </row>
    <row r="185" spans="1:8" ht="14.4" x14ac:dyDescent="0.3">
      <c r="A185" s="50">
        <v>1159</v>
      </c>
      <c r="B185" s="51">
        <v>20001260017</v>
      </c>
      <c r="C185" s="52" t="s">
        <v>1909</v>
      </c>
      <c r="D185" s="52" t="s">
        <v>1354</v>
      </c>
      <c r="E185" s="52" t="s">
        <v>1910</v>
      </c>
      <c r="F185" s="52" t="s">
        <v>618</v>
      </c>
      <c r="G185" s="52" t="s">
        <v>213</v>
      </c>
      <c r="H185" s="52">
        <v>1</v>
      </c>
    </row>
    <row r="186" spans="1:8" ht="14.4" x14ac:dyDescent="0.3">
      <c r="A186" s="50">
        <v>1160</v>
      </c>
      <c r="B186" s="51">
        <v>20020120015</v>
      </c>
      <c r="C186" s="52" t="s">
        <v>2270</v>
      </c>
      <c r="D186" s="52" t="s">
        <v>2271</v>
      </c>
      <c r="E186" s="52" t="s">
        <v>2237</v>
      </c>
      <c r="F186" s="52" t="s">
        <v>618</v>
      </c>
      <c r="G186" s="52" t="s">
        <v>213</v>
      </c>
      <c r="H186" s="52">
        <v>1</v>
      </c>
    </row>
    <row r="187" spans="1:8" ht="14.4" x14ac:dyDescent="0.3">
      <c r="A187" s="50">
        <v>1164</v>
      </c>
      <c r="B187" s="51">
        <v>20001150127</v>
      </c>
      <c r="C187" s="52" t="s">
        <v>1882</v>
      </c>
      <c r="D187" s="52" t="s">
        <v>704</v>
      </c>
      <c r="E187" s="52" t="s">
        <v>1873</v>
      </c>
      <c r="F187" s="52" t="s">
        <v>618</v>
      </c>
      <c r="G187" s="52" t="s">
        <v>244</v>
      </c>
      <c r="H187" s="52">
        <v>1</v>
      </c>
    </row>
    <row r="188" spans="1:8" ht="14.4" x14ac:dyDescent="0.3">
      <c r="A188" s="50">
        <v>1166</v>
      </c>
      <c r="B188" s="51">
        <v>20020094087</v>
      </c>
      <c r="C188" s="52" t="s">
        <v>2241</v>
      </c>
      <c r="D188" s="52" t="s">
        <v>672</v>
      </c>
      <c r="E188" s="52" t="s">
        <v>2242</v>
      </c>
      <c r="F188" s="52" t="s">
        <v>620</v>
      </c>
      <c r="G188" s="52" t="s">
        <v>244</v>
      </c>
      <c r="H188" s="52">
        <v>0.6</v>
      </c>
    </row>
    <row r="189" spans="1:8" ht="14.4" x14ac:dyDescent="0.3">
      <c r="A189" s="50">
        <v>1167</v>
      </c>
      <c r="B189" s="51">
        <v>20000360010</v>
      </c>
      <c r="C189" s="52" t="s">
        <v>950</v>
      </c>
      <c r="D189" s="52" t="s">
        <v>951</v>
      </c>
      <c r="E189" s="52" t="s">
        <v>663</v>
      </c>
      <c r="F189" s="52" t="s">
        <v>664</v>
      </c>
      <c r="G189" s="52" t="s">
        <v>244</v>
      </c>
      <c r="H189" s="52">
        <v>1</v>
      </c>
    </row>
    <row r="190" spans="1:8" ht="14.4" x14ac:dyDescent="0.3">
      <c r="A190" s="50">
        <v>1171</v>
      </c>
      <c r="B190" s="51">
        <v>20001140004</v>
      </c>
      <c r="C190" s="52" t="s">
        <v>1260</v>
      </c>
      <c r="D190" s="52" t="s">
        <v>700</v>
      </c>
      <c r="E190" s="52" t="s">
        <v>3689</v>
      </c>
      <c r="F190" s="52" t="s">
        <v>618</v>
      </c>
      <c r="G190" s="52" t="s">
        <v>213</v>
      </c>
      <c r="H190" s="52">
        <v>1</v>
      </c>
    </row>
    <row r="191" spans="1:8" ht="14.4" x14ac:dyDescent="0.3">
      <c r="A191" s="50">
        <v>1173</v>
      </c>
      <c r="B191" s="51">
        <v>20022001102</v>
      </c>
      <c r="C191" s="52" t="s">
        <v>2305</v>
      </c>
      <c r="D191" s="52" t="s">
        <v>2306</v>
      </c>
      <c r="E191" s="52" t="s">
        <v>2100</v>
      </c>
      <c r="F191" s="52" t="s">
        <v>628</v>
      </c>
      <c r="G191" s="52" t="s">
        <v>244</v>
      </c>
      <c r="H191" s="52">
        <v>1</v>
      </c>
    </row>
    <row r="192" spans="1:8" ht="14.4" x14ac:dyDescent="0.3">
      <c r="A192" s="50">
        <v>1175</v>
      </c>
      <c r="B192" s="51">
        <v>20022001104</v>
      </c>
      <c r="C192" s="52" t="s">
        <v>2320</v>
      </c>
      <c r="D192" s="52" t="s">
        <v>870</v>
      </c>
      <c r="E192" s="52" t="s">
        <v>2646</v>
      </c>
      <c r="F192" s="52" t="s">
        <v>620</v>
      </c>
      <c r="G192" s="52" t="s">
        <v>213</v>
      </c>
      <c r="H192" s="52">
        <v>1</v>
      </c>
    </row>
    <row r="193" spans="1:8" ht="14.4" x14ac:dyDescent="0.3">
      <c r="A193" s="50">
        <v>1186</v>
      </c>
      <c r="B193" s="51">
        <v>20001053075</v>
      </c>
      <c r="C193" s="52" t="s">
        <v>1550</v>
      </c>
      <c r="D193" s="52" t="s">
        <v>1551</v>
      </c>
      <c r="E193" s="52" t="s">
        <v>1326</v>
      </c>
      <c r="F193" s="52" t="s">
        <v>1313</v>
      </c>
      <c r="G193" s="52" t="s">
        <v>213</v>
      </c>
      <c r="H193" s="52">
        <v>1</v>
      </c>
    </row>
    <row r="194" spans="1:8" ht="14.4" x14ac:dyDescent="0.3">
      <c r="A194" s="50">
        <v>1187</v>
      </c>
      <c r="B194" s="51">
        <v>20001054085</v>
      </c>
      <c r="C194" s="52" t="s">
        <v>1586</v>
      </c>
      <c r="D194" s="52" t="s">
        <v>1587</v>
      </c>
      <c r="E194" s="52" t="s">
        <v>1326</v>
      </c>
      <c r="F194" s="52" t="s">
        <v>620</v>
      </c>
      <c r="G194" s="52" t="s">
        <v>213</v>
      </c>
      <c r="H194" s="52">
        <v>1</v>
      </c>
    </row>
    <row r="195" spans="1:8" ht="14.4" x14ac:dyDescent="0.3">
      <c r="A195" s="50">
        <v>1190</v>
      </c>
      <c r="B195" s="51">
        <v>20000570009</v>
      </c>
      <c r="C195" s="52" t="s">
        <v>1047</v>
      </c>
      <c r="D195" s="52" t="s">
        <v>923</v>
      </c>
      <c r="E195" s="52" t="s">
        <v>3396</v>
      </c>
      <c r="F195" s="52" t="s">
        <v>618</v>
      </c>
      <c r="G195" s="52" t="s">
        <v>244</v>
      </c>
      <c r="H195" s="52">
        <v>1</v>
      </c>
    </row>
    <row r="196" spans="1:8" ht="14.4" x14ac:dyDescent="0.3">
      <c r="A196" s="50">
        <v>1193</v>
      </c>
      <c r="B196" s="51">
        <v>20009001112</v>
      </c>
      <c r="C196" s="52" t="s">
        <v>2130</v>
      </c>
      <c r="D196" s="52" t="s">
        <v>2131</v>
      </c>
      <c r="E196" s="52" t="s">
        <v>1970</v>
      </c>
      <c r="F196" s="52" t="s">
        <v>620</v>
      </c>
      <c r="G196" s="52" t="s">
        <v>213</v>
      </c>
      <c r="H196" s="52">
        <v>1</v>
      </c>
    </row>
    <row r="197" spans="1:8" ht="14.4" x14ac:dyDescent="0.3">
      <c r="A197" s="50">
        <v>1194</v>
      </c>
      <c r="B197" s="51">
        <v>20020112073</v>
      </c>
      <c r="C197" s="52" t="s">
        <v>2441</v>
      </c>
      <c r="D197" s="52" t="s">
        <v>3058</v>
      </c>
      <c r="E197" s="52" t="s">
        <v>2263</v>
      </c>
      <c r="F197" s="52" t="s">
        <v>628</v>
      </c>
      <c r="G197" s="52" t="s">
        <v>244</v>
      </c>
      <c r="H197" s="52">
        <v>1</v>
      </c>
    </row>
    <row r="198" spans="1:8" ht="14.4" x14ac:dyDescent="0.3">
      <c r="A198" s="50">
        <v>1195</v>
      </c>
      <c r="B198" s="51">
        <v>20000500003</v>
      </c>
      <c r="C198" s="52" t="s">
        <v>973</v>
      </c>
      <c r="D198" s="52" t="s">
        <v>974</v>
      </c>
      <c r="E198" s="52" t="s">
        <v>975</v>
      </c>
      <c r="F198" s="52" t="s">
        <v>618</v>
      </c>
      <c r="G198" s="52" t="s">
        <v>244</v>
      </c>
      <c r="H198" s="52">
        <v>1</v>
      </c>
    </row>
    <row r="199" spans="1:8" ht="14.4" x14ac:dyDescent="0.3">
      <c r="A199" s="50">
        <v>1196</v>
      </c>
      <c r="B199" s="51">
        <v>20001150127</v>
      </c>
      <c r="C199" s="52" t="s">
        <v>1870</v>
      </c>
      <c r="D199" s="52" t="s">
        <v>988</v>
      </c>
      <c r="E199" s="52" t="s">
        <v>1850</v>
      </c>
      <c r="F199" s="52" t="s">
        <v>618</v>
      </c>
      <c r="G199" s="52" t="s">
        <v>213</v>
      </c>
      <c r="H199" s="52">
        <v>1</v>
      </c>
    </row>
    <row r="200" spans="1:8" ht="14.4" x14ac:dyDescent="0.3">
      <c r="A200" s="50">
        <v>1197</v>
      </c>
      <c r="B200" s="51">
        <v>20001104092</v>
      </c>
      <c r="C200" s="52" t="s">
        <v>1826</v>
      </c>
      <c r="D200" s="52" t="s">
        <v>974</v>
      </c>
      <c r="E200" s="52" t="s">
        <v>1639</v>
      </c>
      <c r="F200" s="52" t="s">
        <v>1086</v>
      </c>
      <c r="G200" s="52" t="s">
        <v>213</v>
      </c>
      <c r="H200" s="52">
        <v>1</v>
      </c>
    </row>
    <row r="201" spans="1:8" ht="14.4" x14ac:dyDescent="0.3">
      <c r="A201" s="50">
        <v>1200</v>
      </c>
      <c r="B201" s="51">
        <v>20020120015</v>
      </c>
      <c r="C201" s="52" t="s">
        <v>2286</v>
      </c>
      <c r="D201" s="52" t="s">
        <v>668</v>
      </c>
      <c r="E201" s="52" t="s">
        <v>2100</v>
      </c>
      <c r="F201" s="52" t="s">
        <v>618</v>
      </c>
      <c r="G201" s="52" t="s">
        <v>213</v>
      </c>
      <c r="H201" s="52">
        <v>1</v>
      </c>
    </row>
    <row r="202" spans="1:8" ht="14.4" x14ac:dyDescent="0.3">
      <c r="A202" s="50">
        <v>1202</v>
      </c>
      <c r="B202" s="51">
        <v>20020114093</v>
      </c>
      <c r="C202" s="52" t="s">
        <v>794</v>
      </c>
      <c r="D202" s="52" t="s">
        <v>1405</v>
      </c>
      <c r="E202" s="52" t="s">
        <v>2269</v>
      </c>
      <c r="F202" s="52" t="s">
        <v>620</v>
      </c>
      <c r="G202" s="52" t="s">
        <v>213</v>
      </c>
      <c r="H202" s="52">
        <v>1</v>
      </c>
    </row>
    <row r="203" spans="1:8" ht="14.4" x14ac:dyDescent="0.3">
      <c r="A203" s="50">
        <v>1204</v>
      </c>
      <c r="B203" s="51">
        <v>20000520019</v>
      </c>
      <c r="C203" s="52" t="s">
        <v>996</v>
      </c>
      <c r="D203" s="52" t="s">
        <v>997</v>
      </c>
      <c r="E203" s="52" t="s">
        <v>998</v>
      </c>
      <c r="F203" s="52" t="s">
        <v>618</v>
      </c>
      <c r="G203" s="52" t="s">
        <v>145</v>
      </c>
      <c r="H203" s="52">
        <v>1</v>
      </c>
    </row>
    <row r="204" spans="1:8" ht="14.4" x14ac:dyDescent="0.3">
      <c r="A204" s="50">
        <v>1208</v>
      </c>
      <c r="B204" s="51">
        <v>20000950103</v>
      </c>
      <c r="C204" s="52" t="s">
        <v>1323</v>
      </c>
      <c r="D204" s="52" t="s">
        <v>1231</v>
      </c>
      <c r="E204" s="52" t="s">
        <v>3676</v>
      </c>
      <c r="F204" s="52" t="s">
        <v>618</v>
      </c>
      <c r="G204" s="52" t="s">
        <v>213</v>
      </c>
      <c r="H204" s="52">
        <v>1</v>
      </c>
    </row>
    <row r="205" spans="1:8" ht="14.4" x14ac:dyDescent="0.3">
      <c r="A205" s="50">
        <v>1211</v>
      </c>
      <c r="B205" s="51">
        <v>20009001108</v>
      </c>
      <c r="C205" s="52" t="s">
        <v>2057</v>
      </c>
      <c r="D205" s="52" t="s">
        <v>752</v>
      </c>
      <c r="E205" s="52" t="s">
        <v>1970</v>
      </c>
      <c r="F205" s="52" t="s">
        <v>628</v>
      </c>
      <c r="G205" s="52" t="s">
        <v>244</v>
      </c>
      <c r="H205" s="52">
        <v>1</v>
      </c>
    </row>
    <row r="206" spans="1:8" ht="14.4" x14ac:dyDescent="0.3">
      <c r="A206" s="50">
        <v>1216</v>
      </c>
      <c r="B206" s="51">
        <v>20001260017</v>
      </c>
      <c r="C206" s="52" t="s">
        <v>785</v>
      </c>
      <c r="D206" s="52" t="s">
        <v>844</v>
      </c>
      <c r="E206" s="52" t="s">
        <v>2440</v>
      </c>
      <c r="F206" s="52" t="s">
        <v>618</v>
      </c>
      <c r="G206" s="52" t="s">
        <v>213</v>
      </c>
      <c r="H206" s="52">
        <v>1</v>
      </c>
    </row>
    <row r="207" spans="1:8" ht="14.4" x14ac:dyDescent="0.3">
      <c r="A207" s="50">
        <v>1217</v>
      </c>
      <c r="B207" s="51">
        <v>20001104088</v>
      </c>
      <c r="C207" s="52" t="s">
        <v>1788</v>
      </c>
      <c r="D207" s="52" t="s">
        <v>1789</v>
      </c>
      <c r="E207" s="52" t="s">
        <v>3397</v>
      </c>
      <c r="F207" s="52" t="s">
        <v>620</v>
      </c>
      <c r="G207" s="52" t="s">
        <v>244</v>
      </c>
      <c r="H207" s="52">
        <v>0.8</v>
      </c>
    </row>
    <row r="208" spans="1:8" ht="14.4" x14ac:dyDescent="0.3">
      <c r="A208" s="50">
        <v>1219</v>
      </c>
      <c r="B208" s="51">
        <v>20001140004</v>
      </c>
      <c r="C208" s="52" t="s">
        <v>1848</v>
      </c>
      <c r="D208" s="52" t="s">
        <v>1849</v>
      </c>
      <c r="E208" s="52" t="s">
        <v>1850</v>
      </c>
      <c r="F208" s="52" t="s">
        <v>618</v>
      </c>
      <c r="G208" s="52" t="s">
        <v>244</v>
      </c>
      <c r="H208" s="52">
        <v>1</v>
      </c>
    </row>
    <row r="209" spans="1:8" ht="14.4" x14ac:dyDescent="0.3">
      <c r="A209" s="50">
        <v>1220</v>
      </c>
      <c r="B209" s="51">
        <v>20001140004</v>
      </c>
      <c r="C209" s="52" t="s">
        <v>1840</v>
      </c>
      <c r="D209" s="52" t="s">
        <v>2728</v>
      </c>
      <c r="E209" s="52" t="s">
        <v>1841</v>
      </c>
      <c r="F209" s="52" t="s">
        <v>618</v>
      </c>
      <c r="G209" s="52" t="s">
        <v>244</v>
      </c>
      <c r="H209" s="52">
        <v>1</v>
      </c>
    </row>
    <row r="210" spans="1:8" ht="14.4" x14ac:dyDescent="0.3">
      <c r="A210" s="50">
        <v>1226</v>
      </c>
      <c r="B210" s="51">
        <v>20001140004</v>
      </c>
      <c r="C210" s="52" t="s">
        <v>2589</v>
      </c>
      <c r="D210" s="52" t="s">
        <v>1855</v>
      </c>
      <c r="E210" s="52" t="s">
        <v>1847</v>
      </c>
      <c r="F210" s="52" t="s">
        <v>618</v>
      </c>
      <c r="G210" s="52" t="s">
        <v>213</v>
      </c>
      <c r="H210" s="52">
        <v>1</v>
      </c>
    </row>
    <row r="211" spans="1:8" ht="14.4" x14ac:dyDescent="0.3">
      <c r="A211" s="50">
        <v>1227</v>
      </c>
      <c r="B211" s="51">
        <v>20001104088</v>
      </c>
      <c r="C211" s="52" t="s">
        <v>1802</v>
      </c>
      <c r="D211" s="52" t="s">
        <v>923</v>
      </c>
      <c r="E211" s="52" t="s">
        <v>1642</v>
      </c>
      <c r="F211" s="52" t="s">
        <v>620</v>
      </c>
      <c r="G211" s="52" t="s">
        <v>213</v>
      </c>
      <c r="H211" s="52">
        <v>1</v>
      </c>
    </row>
    <row r="212" spans="1:8" ht="14.4" x14ac:dyDescent="0.3">
      <c r="A212" s="50">
        <v>1228</v>
      </c>
      <c r="B212" s="51">
        <v>20051001112</v>
      </c>
      <c r="C212" s="52" t="s">
        <v>2156</v>
      </c>
      <c r="D212" s="52" t="s">
        <v>1563</v>
      </c>
      <c r="E212" s="52" t="s">
        <v>2471</v>
      </c>
      <c r="F212" s="52" t="s">
        <v>620</v>
      </c>
      <c r="G212" s="52" t="s">
        <v>244</v>
      </c>
      <c r="H212" s="52">
        <v>1</v>
      </c>
    </row>
    <row r="213" spans="1:8" ht="14.4" x14ac:dyDescent="0.3">
      <c r="A213" s="36">
        <v>1231</v>
      </c>
      <c r="B213" s="36">
        <v>20000680024</v>
      </c>
      <c r="C213" s="36" t="s">
        <v>1227</v>
      </c>
      <c r="D213" s="36" t="s">
        <v>1228</v>
      </c>
      <c r="E213" s="36" t="s">
        <v>1229</v>
      </c>
      <c r="F213" s="36" t="s">
        <v>618</v>
      </c>
      <c r="G213" s="36" t="s">
        <v>213</v>
      </c>
      <c r="H213" s="36">
        <v>1</v>
      </c>
    </row>
    <row r="214" spans="1:8" ht="14.4" x14ac:dyDescent="0.3">
      <c r="A214" s="50">
        <v>1237</v>
      </c>
      <c r="B214" s="51">
        <v>20009001110</v>
      </c>
      <c r="C214" s="52" t="s">
        <v>2118</v>
      </c>
      <c r="D214" s="52" t="s">
        <v>2119</v>
      </c>
      <c r="E214" s="52" t="s">
        <v>1970</v>
      </c>
      <c r="F214" s="52" t="s">
        <v>1313</v>
      </c>
      <c r="G214" s="52" t="s">
        <v>213</v>
      </c>
      <c r="H214" s="52">
        <v>1</v>
      </c>
    </row>
    <row r="215" spans="1:8" ht="14.4" x14ac:dyDescent="0.3">
      <c r="A215" s="50">
        <v>1238</v>
      </c>
      <c r="B215" s="51">
        <v>20020052066</v>
      </c>
      <c r="C215" s="52" t="s">
        <v>2217</v>
      </c>
      <c r="D215" s="52" t="s">
        <v>1231</v>
      </c>
      <c r="E215" s="52" t="s">
        <v>3398</v>
      </c>
      <c r="F215" s="52" t="s">
        <v>628</v>
      </c>
      <c r="G215" s="52" t="s">
        <v>244</v>
      </c>
      <c r="H215" s="52">
        <v>1</v>
      </c>
    </row>
    <row r="216" spans="1:8" ht="14.4" x14ac:dyDescent="0.3">
      <c r="A216" s="50">
        <v>1244</v>
      </c>
      <c r="B216" s="51">
        <v>20000750022</v>
      </c>
      <c r="C216" s="52" t="s">
        <v>1251</v>
      </c>
      <c r="D216" s="52" t="s">
        <v>1252</v>
      </c>
      <c r="E216" s="52" t="s">
        <v>1253</v>
      </c>
      <c r="F216" s="52" t="s">
        <v>618</v>
      </c>
      <c r="G216" s="52" t="s">
        <v>244</v>
      </c>
      <c r="H216" s="52">
        <v>1</v>
      </c>
    </row>
    <row r="217" spans="1:8" ht="14.4" x14ac:dyDescent="0.3">
      <c r="A217" s="50">
        <v>1247</v>
      </c>
      <c r="B217" s="51">
        <v>20000330010</v>
      </c>
      <c r="C217" s="52" t="s">
        <v>858</v>
      </c>
      <c r="D217" s="52" t="s">
        <v>859</v>
      </c>
      <c r="E217" s="52" t="s">
        <v>2856</v>
      </c>
      <c r="F217" s="52" t="s">
        <v>664</v>
      </c>
      <c r="G217" s="52" t="s">
        <v>213</v>
      </c>
      <c r="H217" s="52">
        <v>1</v>
      </c>
    </row>
    <row r="218" spans="1:8" ht="14.4" x14ac:dyDescent="0.3">
      <c r="A218" s="50">
        <v>1248</v>
      </c>
      <c r="B218" s="51">
        <v>20000330010</v>
      </c>
      <c r="C218" s="52" t="s">
        <v>876</v>
      </c>
      <c r="D218" s="52" t="s">
        <v>877</v>
      </c>
      <c r="E218" s="52" t="s">
        <v>3206</v>
      </c>
      <c r="F218" s="52" t="s">
        <v>664</v>
      </c>
      <c r="G218" s="52" t="s">
        <v>213</v>
      </c>
      <c r="H218" s="52">
        <v>1</v>
      </c>
    </row>
    <row r="219" spans="1:8" ht="14.4" x14ac:dyDescent="0.3">
      <c r="A219" s="50">
        <v>1254</v>
      </c>
      <c r="B219" s="51">
        <v>20001260017</v>
      </c>
      <c r="C219" s="52" t="s">
        <v>1925</v>
      </c>
      <c r="D219" s="52" t="s">
        <v>2491</v>
      </c>
      <c r="E219" s="52" t="s">
        <v>1895</v>
      </c>
      <c r="F219" s="52" t="s">
        <v>618</v>
      </c>
      <c r="G219" s="52" t="s">
        <v>244</v>
      </c>
      <c r="H219" s="52">
        <v>1</v>
      </c>
    </row>
    <row r="220" spans="1:8" ht="14.4" x14ac:dyDescent="0.3">
      <c r="A220" s="50">
        <v>1259</v>
      </c>
      <c r="B220" s="51">
        <v>20001050152</v>
      </c>
      <c r="C220" s="52" t="s">
        <v>1938</v>
      </c>
      <c r="D220" s="52" t="s">
        <v>1939</v>
      </c>
      <c r="E220" s="52" t="s">
        <v>3282</v>
      </c>
      <c r="F220" s="52" t="s">
        <v>618</v>
      </c>
      <c r="G220" s="52" t="s">
        <v>213</v>
      </c>
      <c r="H220" s="52">
        <v>1</v>
      </c>
    </row>
    <row r="221" spans="1:8" ht="14.4" x14ac:dyDescent="0.3">
      <c r="A221" s="50">
        <v>1261</v>
      </c>
      <c r="B221" s="51">
        <v>20000340010</v>
      </c>
      <c r="C221" s="52" t="s">
        <v>919</v>
      </c>
      <c r="D221" s="52" t="s">
        <v>920</v>
      </c>
      <c r="E221" s="52" t="s">
        <v>2923</v>
      </c>
      <c r="F221" s="52" t="s">
        <v>664</v>
      </c>
      <c r="G221" s="52" t="s">
        <v>213</v>
      </c>
      <c r="H221" s="52">
        <v>1</v>
      </c>
    </row>
    <row r="222" spans="1:8" ht="14.4" x14ac:dyDescent="0.3">
      <c r="A222" s="50">
        <v>1267</v>
      </c>
      <c r="B222" s="51">
        <v>20000680024</v>
      </c>
      <c r="C222" s="52" t="s">
        <v>1233</v>
      </c>
      <c r="D222" s="52" t="s">
        <v>1234</v>
      </c>
      <c r="E222" s="52" t="s">
        <v>1235</v>
      </c>
      <c r="F222" s="52" t="s">
        <v>618</v>
      </c>
      <c r="G222" s="52" t="s">
        <v>213</v>
      </c>
      <c r="H222" s="52">
        <v>1</v>
      </c>
    </row>
    <row r="223" spans="1:8" ht="14.4" x14ac:dyDescent="0.3">
      <c r="A223" s="50">
        <v>1270</v>
      </c>
      <c r="B223" s="51">
        <v>20009001108</v>
      </c>
      <c r="C223" s="52" t="s">
        <v>2051</v>
      </c>
      <c r="D223" s="52" t="s">
        <v>2052</v>
      </c>
      <c r="E223" s="52" t="s">
        <v>1970</v>
      </c>
      <c r="F223" s="52" t="s">
        <v>628</v>
      </c>
      <c r="G223" s="52" t="s">
        <v>213</v>
      </c>
      <c r="H223" s="52">
        <v>1</v>
      </c>
    </row>
    <row r="224" spans="1:8" ht="14.4" x14ac:dyDescent="0.3">
      <c r="A224" s="50">
        <v>1273</v>
      </c>
      <c r="B224" s="51">
        <v>20000920001</v>
      </c>
      <c r="C224" s="52" t="s">
        <v>1298</v>
      </c>
      <c r="D224" s="52" t="s">
        <v>704</v>
      </c>
      <c r="E224" s="52" t="s">
        <v>1290</v>
      </c>
      <c r="F224" s="52" t="s">
        <v>618</v>
      </c>
      <c r="G224" s="52" t="s">
        <v>244</v>
      </c>
      <c r="H224" s="52">
        <v>1</v>
      </c>
    </row>
    <row r="225" spans="1:8" ht="14.4" x14ac:dyDescent="0.3">
      <c r="A225" s="50">
        <v>1280</v>
      </c>
      <c r="B225" s="51">
        <v>20020120015</v>
      </c>
      <c r="C225" s="52" t="s">
        <v>2283</v>
      </c>
      <c r="D225" s="52" t="s">
        <v>844</v>
      </c>
      <c r="E225" s="52" t="s">
        <v>3656</v>
      </c>
      <c r="F225" s="52" t="s">
        <v>618</v>
      </c>
      <c r="G225" s="52" t="s">
        <v>213</v>
      </c>
      <c r="H225" s="52">
        <v>1</v>
      </c>
    </row>
    <row r="226" spans="1:8" ht="14.4" x14ac:dyDescent="0.3">
      <c r="A226" s="50">
        <v>1283</v>
      </c>
      <c r="B226" s="51">
        <v>20001104088</v>
      </c>
      <c r="C226" s="52" t="s">
        <v>1813</v>
      </c>
      <c r="D226" s="52" t="s">
        <v>797</v>
      </c>
      <c r="E226" s="52" t="s">
        <v>1642</v>
      </c>
      <c r="F226" s="52" t="s">
        <v>620</v>
      </c>
      <c r="G226" s="52" t="s">
        <v>244</v>
      </c>
      <c r="H226" s="52">
        <v>1</v>
      </c>
    </row>
    <row r="227" spans="1:8" ht="14.4" x14ac:dyDescent="0.3">
      <c r="A227" s="50">
        <v>1284</v>
      </c>
      <c r="B227" s="51">
        <v>20001054085</v>
      </c>
      <c r="C227" s="52" t="s">
        <v>1598</v>
      </c>
      <c r="D227" s="52" t="s">
        <v>672</v>
      </c>
      <c r="E227" s="52" t="s">
        <v>3394</v>
      </c>
      <c r="F227" s="52" t="s">
        <v>620</v>
      </c>
      <c r="G227" s="52" t="s">
        <v>244</v>
      </c>
      <c r="H227" s="52">
        <v>1</v>
      </c>
    </row>
    <row r="228" spans="1:8" ht="14.4" x14ac:dyDescent="0.3">
      <c r="A228" s="50">
        <v>1285</v>
      </c>
      <c r="B228" s="51">
        <v>20001054085</v>
      </c>
      <c r="C228" s="52" t="s">
        <v>1596</v>
      </c>
      <c r="D228" s="52" t="s">
        <v>1597</v>
      </c>
      <c r="E228" s="52" t="s">
        <v>3394</v>
      </c>
      <c r="F228" s="52" t="s">
        <v>620</v>
      </c>
      <c r="G228" s="52" t="s">
        <v>244</v>
      </c>
      <c r="H228" s="52">
        <v>1</v>
      </c>
    </row>
    <row r="229" spans="1:8" ht="14.4" x14ac:dyDescent="0.3">
      <c r="A229" s="50">
        <v>1286</v>
      </c>
      <c r="B229" s="51">
        <v>20009001108</v>
      </c>
      <c r="C229" s="52" t="s">
        <v>2084</v>
      </c>
      <c r="D229" s="52" t="s">
        <v>2085</v>
      </c>
      <c r="E229" s="52" t="s">
        <v>1970</v>
      </c>
      <c r="F229" s="52" t="s">
        <v>628</v>
      </c>
      <c r="G229" s="52" t="s">
        <v>213</v>
      </c>
      <c r="H229" s="52">
        <v>1</v>
      </c>
    </row>
    <row r="230" spans="1:8" ht="14.4" x14ac:dyDescent="0.3">
      <c r="A230" s="50">
        <v>1287</v>
      </c>
      <c r="B230" s="51">
        <v>20000570122</v>
      </c>
      <c r="C230" s="52" t="s">
        <v>1064</v>
      </c>
      <c r="D230" s="52" t="s">
        <v>1065</v>
      </c>
      <c r="E230" s="52" t="s">
        <v>1066</v>
      </c>
      <c r="F230" s="52" t="s">
        <v>628</v>
      </c>
      <c r="G230" s="52" t="s">
        <v>244</v>
      </c>
      <c r="H230" s="52">
        <v>1</v>
      </c>
    </row>
    <row r="231" spans="1:8" ht="14.4" x14ac:dyDescent="0.3">
      <c r="A231" s="50">
        <v>1289</v>
      </c>
      <c r="B231" s="51">
        <v>20009001112</v>
      </c>
      <c r="C231" s="52" t="s">
        <v>2139</v>
      </c>
      <c r="D231" s="52" t="s">
        <v>2140</v>
      </c>
      <c r="E231" s="52" t="s">
        <v>1970</v>
      </c>
      <c r="F231" s="52" t="s">
        <v>620</v>
      </c>
      <c r="G231" s="52" t="s">
        <v>244</v>
      </c>
      <c r="H231" s="52">
        <v>1</v>
      </c>
    </row>
    <row r="232" spans="1:8" ht="14.4" x14ac:dyDescent="0.3">
      <c r="A232" s="50">
        <v>1291</v>
      </c>
      <c r="B232" s="51">
        <v>20001054085</v>
      </c>
      <c r="C232" s="52" t="s">
        <v>1604</v>
      </c>
      <c r="D232" s="52" t="s">
        <v>1187</v>
      </c>
      <c r="E232" s="52" t="s">
        <v>3399</v>
      </c>
      <c r="F232" s="52" t="s">
        <v>620</v>
      </c>
      <c r="G232" s="52" t="s">
        <v>244</v>
      </c>
      <c r="H232" s="52">
        <v>1</v>
      </c>
    </row>
    <row r="233" spans="1:8" ht="14.4" x14ac:dyDescent="0.3">
      <c r="A233" s="50">
        <v>1292</v>
      </c>
      <c r="B233" s="51">
        <v>20000530021</v>
      </c>
      <c r="C233" s="52" t="s">
        <v>1008</v>
      </c>
      <c r="D233" s="52" t="s">
        <v>770</v>
      </c>
      <c r="E233" s="52" t="s">
        <v>1009</v>
      </c>
      <c r="F233" s="52" t="s">
        <v>618</v>
      </c>
      <c r="G233" s="52" t="s">
        <v>244</v>
      </c>
      <c r="H233" s="52">
        <v>1</v>
      </c>
    </row>
    <row r="234" spans="1:8" ht="14.4" x14ac:dyDescent="0.3">
      <c r="A234" s="50">
        <v>1293</v>
      </c>
      <c r="B234" s="51">
        <v>20001104088</v>
      </c>
      <c r="C234" s="52" t="s">
        <v>1814</v>
      </c>
      <c r="D234" s="52" t="s">
        <v>1178</v>
      </c>
      <c r="E234" s="52" t="s">
        <v>1639</v>
      </c>
      <c r="F234" s="52" t="s">
        <v>620</v>
      </c>
      <c r="G234" s="52" t="s">
        <v>244</v>
      </c>
      <c r="H234" s="52">
        <v>0.5</v>
      </c>
    </row>
    <row r="235" spans="1:8" ht="14.4" x14ac:dyDescent="0.3">
      <c r="A235" s="50">
        <v>1298</v>
      </c>
      <c r="B235" s="51">
        <v>20001260017</v>
      </c>
      <c r="C235" s="52" t="s">
        <v>1929</v>
      </c>
      <c r="D235" s="52" t="s">
        <v>964</v>
      </c>
      <c r="E235" s="52" t="s">
        <v>1895</v>
      </c>
      <c r="F235" s="52" t="s">
        <v>618</v>
      </c>
      <c r="G235" s="52" t="s">
        <v>244</v>
      </c>
      <c r="H235" s="52">
        <v>1</v>
      </c>
    </row>
    <row r="236" spans="1:8" ht="14.4" x14ac:dyDescent="0.3">
      <c r="A236" s="50">
        <v>1300</v>
      </c>
      <c r="B236" s="51">
        <v>20020114093</v>
      </c>
      <c r="C236" s="52" t="s">
        <v>2268</v>
      </c>
      <c r="D236" s="52" t="s">
        <v>1568</v>
      </c>
      <c r="E236" s="52" t="s">
        <v>2237</v>
      </c>
      <c r="F236" s="52" t="s">
        <v>620</v>
      </c>
      <c r="G236" s="52" t="s">
        <v>244</v>
      </c>
      <c r="H236" s="52">
        <v>1</v>
      </c>
    </row>
    <row r="237" spans="1:8" ht="14.4" x14ac:dyDescent="0.3">
      <c r="A237" s="50">
        <v>1301</v>
      </c>
      <c r="B237" s="51">
        <v>20001360016</v>
      </c>
      <c r="C237" s="52" t="s">
        <v>1965</v>
      </c>
      <c r="D237" s="52" t="s">
        <v>844</v>
      </c>
      <c r="E237" s="52" t="s">
        <v>1966</v>
      </c>
      <c r="F237" s="52" t="s">
        <v>618</v>
      </c>
      <c r="G237" s="52" t="s">
        <v>244</v>
      </c>
      <c r="H237" s="52">
        <v>1</v>
      </c>
    </row>
    <row r="238" spans="1:8" ht="14.4" x14ac:dyDescent="0.3">
      <c r="A238" s="50">
        <v>1303</v>
      </c>
      <c r="B238" s="51">
        <v>20001260017</v>
      </c>
      <c r="C238" s="52" t="s">
        <v>1922</v>
      </c>
      <c r="D238" s="52" t="s">
        <v>1923</v>
      </c>
      <c r="E238" s="52" t="s">
        <v>2820</v>
      </c>
      <c r="F238" s="52" t="s">
        <v>618</v>
      </c>
      <c r="G238" s="52" t="s">
        <v>213</v>
      </c>
      <c r="H238" s="52">
        <v>1</v>
      </c>
    </row>
    <row r="239" spans="1:8" ht="14.4" x14ac:dyDescent="0.3">
      <c r="A239" s="50">
        <v>1304</v>
      </c>
      <c r="B239" s="51">
        <v>20000360008</v>
      </c>
      <c r="C239" s="52" t="s">
        <v>941</v>
      </c>
      <c r="D239" s="52" t="s">
        <v>942</v>
      </c>
      <c r="E239" s="52" t="s">
        <v>943</v>
      </c>
      <c r="F239" s="52" t="s">
        <v>618</v>
      </c>
      <c r="G239" s="52" t="s">
        <v>244</v>
      </c>
      <c r="H239" s="52">
        <v>1</v>
      </c>
    </row>
    <row r="240" spans="1:8" ht="14.4" x14ac:dyDescent="0.3">
      <c r="A240" s="50">
        <v>1305</v>
      </c>
      <c r="B240" s="51">
        <v>20060110034</v>
      </c>
      <c r="C240" s="52" t="s">
        <v>2250</v>
      </c>
      <c r="D240" s="52" t="s">
        <v>2359</v>
      </c>
      <c r="E240" s="52" t="s">
        <v>3182</v>
      </c>
      <c r="F240" s="52" t="s">
        <v>618</v>
      </c>
      <c r="G240" s="52" t="s">
        <v>213</v>
      </c>
      <c r="H240" s="52">
        <v>1</v>
      </c>
    </row>
    <row r="241" spans="1:8" ht="14.4" x14ac:dyDescent="0.3">
      <c r="A241" s="36">
        <v>1306</v>
      </c>
      <c r="B241" s="36">
        <v>20000650027</v>
      </c>
      <c r="C241" s="36" t="s">
        <v>1171</v>
      </c>
      <c r="D241" s="36" t="s">
        <v>1172</v>
      </c>
      <c r="E241" s="36" t="s">
        <v>1162</v>
      </c>
      <c r="F241" s="36" t="s">
        <v>618</v>
      </c>
      <c r="G241" s="36" t="s">
        <v>213</v>
      </c>
      <c r="H241" s="36">
        <v>1</v>
      </c>
    </row>
    <row r="242" spans="1:8" ht="14.4" x14ac:dyDescent="0.3">
      <c r="A242" s="50">
        <v>1307</v>
      </c>
      <c r="B242" s="51">
        <v>20000630026</v>
      </c>
      <c r="C242" s="52" t="s">
        <v>1147</v>
      </c>
      <c r="D242" s="52" t="s">
        <v>715</v>
      </c>
      <c r="E242" s="52" t="s">
        <v>1113</v>
      </c>
      <c r="F242" s="52" t="s">
        <v>618</v>
      </c>
      <c r="G242" s="52" t="s">
        <v>244</v>
      </c>
      <c r="H242" s="52">
        <v>1</v>
      </c>
    </row>
    <row r="243" spans="1:8" ht="14.4" x14ac:dyDescent="0.3">
      <c r="A243" s="50">
        <v>1310</v>
      </c>
      <c r="B243" s="51">
        <v>20001260017</v>
      </c>
      <c r="C243" s="52" t="s">
        <v>1893</v>
      </c>
      <c r="D243" s="52" t="s">
        <v>1894</v>
      </c>
      <c r="E243" s="52" t="s">
        <v>1895</v>
      </c>
      <c r="F243" s="52" t="s">
        <v>618</v>
      </c>
      <c r="G243" s="52" t="s">
        <v>213</v>
      </c>
      <c r="H243" s="52">
        <v>1</v>
      </c>
    </row>
    <row r="244" spans="1:8" ht="14.4" x14ac:dyDescent="0.3">
      <c r="A244" s="50">
        <v>1311</v>
      </c>
      <c r="B244" s="51">
        <v>20001350113</v>
      </c>
      <c r="C244" s="52" t="s">
        <v>856</v>
      </c>
      <c r="D244" s="52" t="s">
        <v>1191</v>
      </c>
      <c r="E244" s="52" t="s">
        <v>1949</v>
      </c>
      <c r="F244" s="52" t="s">
        <v>618</v>
      </c>
      <c r="G244" s="52" t="s">
        <v>213</v>
      </c>
      <c r="H244" s="52">
        <v>1</v>
      </c>
    </row>
    <row r="245" spans="1:8" ht="14.4" x14ac:dyDescent="0.3">
      <c r="A245" s="50">
        <v>1314</v>
      </c>
      <c r="B245" s="51">
        <v>20060110033</v>
      </c>
      <c r="C245" s="52" t="s">
        <v>2356</v>
      </c>
      <c r="D245" s="52" t="s">
        <v>662</v>
      </c>
      <c r="E245" s="52" t="s">
        <v>2015</v>
      </c>
      <c r="F245" s="52" t="s">
        <v>618</v>
      </c>
      <c r="G245" s="52" t="s">
        <v>244</v>
      </c>
      <c r="H245" s="52">
        <v>1</v>
      </c>
    </row>
    <row r="246" spans="1:8" ht="14.4" x14ac:dyDescent="0.3">
      <c r="A246" s="36">
        <v>1315</v>
      </c>
      <c r="B246" s="36">
        <v>20009001104</v>
      </c>
      <c r="C246" s="36" t="s">
        <v>2014</v>
      </c>
      <c r="D246" s="36" t="s">
        <v>785</v>
      </c>
      <c r="E246" s="36" t="s">
        <v>2015</v>
      </c>
      <c r="F246" s="36" t="s">
        <v>775</v>
      </c>
      <c r="G246" s="36" t="s">
        <v>244</v>
      </c>
      <c r="H246" s="36">
        <v>1</v>
      </c>
    </row>
    <row r="247" spans="1:8" ht="14.4" x14ac:dyDescent="0.3">
      <c r="A247" s="50">
        <v>1316</v>
      </c>
      <c r="B247" s="51">
        <v>20060110033</v>
      </c>
      <c r="C247" s="52" t="s">
        <v>925</v>
      </c>
      <c r="D247" s="52" t="s">
        <v>974</v>
      </c>
      <c r="E247" s="52" t="s">
        <v>2015</v>
      </c>
      <c r="F247" s="52" t="s">
        <v>618</v>
      </c>
      <c r="G247" s="52" t="s">
        <v>244</v>
      </c>
      <c r="H247" s="52">
        <v>1</v>
      </c>
    </row>
    <row r="248" spans="1:8" ht="14.4" x14ac:dyDescent="0.3">
      <c r="A248" s="36">
        <v>1317</v>
      </c>
      <c r="B248" s="36">
        <v>20060110034</v>
      </c>
      <c r="C248" s="36" t="s">
        <v>2363</v>
      </c>
      <c r="D248" s="36" t="s">
        <v>1279</v>
      </c>
      <c r="E248" s="36" t="s">
        <v>3183</v>
      </c>
      <c r="F248" s="36" t="s">
        <v>618</v>
      </c>
      <c r="G248" s="36" t="s">
        <v>213</v>
      </c>
      <c r="H248" s="36">
        <v>1</v>
      </c>
    </row>
    <row r="249" spans="1:8" ht="14.4" x14ac:dyDescent="0.3">
      <c r="A249" s="36">
        <v>1318</v>
      </c>
      <c r="B249" s="36">
        <v>20000830030</v>
      </c>
      <c r="C249" s="36" t="s">
        <v>1278</v>
      </c>
      <c r="D249" s="36" t="s">
        <v>1279</v>
      </c>
      <c r="E249" s="36" t="s">
        <v>1280</v>
      </c>
      <c r="F249" s="36" t="s">
        <v>618</v>
      </c>
      <c r="G249" s="36" t="s">
        <v>244</v>
      </c>
      <c r="H249" s="36">
        <v>1</v>
      </c>
    </row>
    <row r="250" spans="1:8" ht="14.4" x14ac:dyDescent="0.3">
      <c r="A250" s="50">
        <v>1319</v>
      </c>
      <c r="B250" s="51">
        <v>20051001108</v>
      </c>
      <c r="C250" s="52" t="s">
        <v>2331</v>
      </c>
      <c r="D250" s="52" t="s">
        <v>1078</v>
      </c>
      <c r="E250" s="52" t="s">
        <v>1988</v>
      </c>
      <c r="F250" s="52" t="s">
        <v>628</v>
      </c>
      <c r="G250" s="52" t="s">
        <v>213</v>
      </c>
      <c r="H250" s="52">
        <v>1</v>
      </c>
    </row>
    <row r="251" spans="1:8" ht="14.4" x14ac:dyDescent="0.3">
      <c r="A251" s="36">
        <v>1321</v>
      </c>
      <c r="B251" s="36">
        <v>20001052065</v>
      </c>
      <c r="C251" s="36" t="s">
        <v>1470</v>
      </c>
      <c r="D251" s="36" t="s">
        <v>1471</v>
      </c>
      <c r="E251" s="36" t="s">
        <v>1326</v>
      </c>
      <c r="F251" s="36" t="s">
        <v>628</v>
      </c>
      <c r="G251" s="36" t="s">
        <v>213</v>
      </c>
      <c r="H251" s="36">
        <v>1</v>
      </c>
    </row>
    <row r="252" spans="1:8" ht="14.4" x14ac:dyDescent="0.3">
      <c r="A252" s="50">
        <v>1322</v>
      </c>
      <c r="B252" s="51">
        <v>20009001109</v>
      </c>
      <c r="C252" s="52" t="s">
        <v>2106</v>
      </c>
      <c r="D252" s="52" t="s">
        <v>2068</v>
      </c>
      <c r="E252" s="52" t="s">
        <v>3400</v>
      </c>
      <c r="F252" s="52" t="s">
        <v>1532</v>
      </c>
      <c r="G252" s="52" t="s">
        <v>244</v>
      </c>
      <c r="H252" s="52">
        <v>1</v>
      </c>
    </row>
    <row r="253" spans="1:8" ht="14.4" x14ac:dyDescent="0.3">
      <c r="A253" s="50">
        <v>1323</v>
      </c>
      <c r="B253" s="51">
        <v>20051001112</v>
      </c>
      <c r="C253" s="52" t="s">
        <v>653</v>
      </c>
      <c r="D253" s="52" t="s">
        <v>1810</v>
      </c>
      <c r="E253" s="52" t="s">
        <v>1988</v>
      </c>
      <c r="F253" s="52" t="s">
        <v>620</v>
      </c>
      <c r="G253" s="52" t="s">
        <v>213</v>
      </c>
      <c r="H253" s="52">
        <v>1</v>
      </c>
    </row>
    <row r="254" spans="1:8" ht="14.4" x14ac:dyDescent="0.3">
      <c r="A254" s="36">
        <v>1325</v>
      </c>
      <c r="B254" s="36">
        <v>20000310010</v>
      </c>
      <c r="C254" s="36" t="s">
        <v>2498</v>
      </c>
      <c r="D254" s="36" t="s">
        <v>674</v>
      </c>
      <c r="E254" s="36" t="s">
        <v>663</v>
      </c>
      <c r="F254" s="36" t="s">
        <v>664</v>
      </c>
      <c r="G254" s="36" t="s">
        <v>244</v>
      </c>
      <c r="H254" s="36">
        <v>0.8</v>
      </c>
    </row>
    <row r="255" spans="1:8" ht="14.4" x14ac:dyDescent="0.3">
      <c r="A255" s="50">
        <v>1326</v>
      </c>
      <c r="B255" s="51">
        <v>20020054086</v>
      </c>
      <c r="C255" s="52" t="s">
        <v>2223</v>
      </c>
      <c r="D255" s="52" t="s">
        <v>2224</v>
      </c>
      <c r="E255" s="52" t="s">
        <v>3401</v>
      </c>
      <c r="F255" s="52" t="s">
        <v>620</v>
      </c>
      <c r="G255" s="52" t="s">
        <v>244</v>
      </c>
      <c r="H255" s="52">
        <v>1</v>
      </c>
    </row>
    <row r="256" spans="1:8" ht="14.4" x14ac:dyDescent="0.3">
      <c r="A256" s="50">
        <v>1331</v>
      </c>
      <c r="B256" s="51">
        <v>20001054085</v>
      </c>
      <c r="C256" s="52" t="s">
        <v>1571</v>
      </c>
      <c r="D256" s="52" t="s">
        <v>619</v>
      </c>
      <c r="E256" s="52" t="s">
        <v>1326</v>
      </c>
      <c r="F256" s="52" t="s">
        <v>620</v>
      </c>
      <c r="G256" s="52" t="s">
        <v>213</v>
      </c>
      <c r="H256" s="52">
        <v>1</v>
      </c>
    </row>
    <row r="257" spans="1:8" ht="14.4" x14ac:dyDescent="0.3">
      <c r="A257" s="50">
        <v>1339</v>
      </c>
      <c r="B257" s="51">
        <v>20000510000</v>
      </c>
      <c r="C257" s="52" t="s">
        <v>985</v>
      </c>
      <c r="D257" s="52" t="s">
        <v>795</v>
      </c>
      <c r="E257" s="52" t="s">
        <v>986</v>
      </c>
      <c r="F257" s="52" t="s">
        <v>618</v>
      </c>
      <c r="G257" s="52" t="s">
        <v>213</v>
      </c>
      <c r="H257" s="52">
        <v>1</v>
      </c>
    </row>
    <row r="258" spans="1:8" ht="14.4" x14ac:dyDescent="0.3">
      <c r="A258" s="50">
        <v>1342</v>
      </c>
      <c r="B258" s="51">
        <v>20001052065</v>
      </c>
      <c r="C258" s="52" t="s">
        <v>1493</v>
      </c>
      <c r="D258" s="52" t="s">
        <v>688</v>
      </c>
      <c r="E258" s="52" t="s">
        <v>1326</v>
      </c>
      <c r="F258" s="52" t="s">
        <v>628</v>
      </c>
      <c r="G258" s="52" t="s">
        <v>213</v>
      </c>
      <c r="H258" s="52">
        <v>1</v>
      </c>
    </row>
    <row r="259" spans="1:8" ht="14.4" x14ac:dyDescent="0.3">
      <c r="A259" s="50">
        <v>1344</v>
      </c>
      <c r="B259" s="51">
        <v>20000630026</v>
      </c>
      <c r="C259" s="52" t="s">
        <v>921</v>
      </c>
      <c r="D259" s="52" t="s">
        <v>668</v>
      </c>
      <c r="E259" s="52" t="s">
        <v>1109</v>
      </c>
      <c r="F259" s="52" t="s">
        <v>618</v>
      </c>
      <c r="G259" s="52" t="s">
        <v>213</v>
      </c>
      <c r="H259" s="52">
        <v>1</v>
      </c>
    </row>
    <row r="260" spans="1:8" ht="14.4" x14ac:dyDescent="0.3">
      <c r="A260" s="50">
        <v>1348</v>
      </c>
      <c r="B260" s="51">
        <v>20000330010</v>
      </c>
      <c r="C260" s="52" t="s">
        <v>860</v>
      </c>
      <c r="D260" s="52" t="s">
        <v>861</v>
      </c>
      <c r="E260" s="52" t="s">
        <v>3402</v>
      </c>
      <c r="F260" s="52" t="s">
        <v>618</v>
      </c>
      <c r="G260" s="52" t="s">
        <v>244</v>
      </c>
      <c r="H260" s="52">
        <v>1</v>
      </c>
    </row>
    <row r="261" spans="1:8" ht="14.4" x14ac:dyDescent="0.3">
      <c r="A261" s="50">
        <v>1349</v>
      </c>
      <c r="B261" s="51">
        <v>20020040014</v>
      </c>
      <c r="C261" s="52" t="s">
        <v>2197</v>
      </c>
      <c r="D261" s="52" t="s">
        <v>1344</v>
      </c>
      <c r="E261" s="52" t="s">
        <v>2198</v>
      </c>
      <c r="F261" s="52" t="s">
        <v>618</v>
      </c>
      <c r="G261" s="52" t="s">
        <v>213</v>
      </c>
      <c r="H261" s="52">
        <v>1</v>
      </c>
    </row>
    <row r="262" spans="1:8" ht="14.4" x14ac:dyDescent="0.3">
      <c r="A262" s="50">
        <v>1351</v>
      </c>
      <c r="B262" s="51">
        <v>20000950103</v>
      </c>
      <c r="C262" s="52" t="s">
        <v>807</v>
      </c>
      <c r="D262" s="52" t="s">
        <v>688</v>
      </c>
      <c r="E262" s="52" t="s">
        <v>1320</v>
      </c>
      <c r="F262" s="52" t="s">
        <v>618</v>
      </c>
      <c r="G262" s="52" t="s">
        <v>213</v>
      </c>
      <c r="H262" s="52">
        <v>1</v>
      </c>
    </row>
    <row r="263" spans="1:8" ht="14.4" x14ac:dyDescent="0.3">
      <c r="A263" s="50">
        <v>1352</v>
      </c>
      <c r="B263" s="51">
        <v>20001350113</v>
      </c>
      <c r="C263" s="52" t="s">
        <v>2965</v>
      </c>
      <c r="D263" s="52" t="s">
        <v>708</v>
      </c>
      <c r="E263" s="52" t="s">
        <v>1952</v>
      </c>
      <c r="F263" s="52" t="s">
        <v>618</v>
      </c>
      <c r="G263" s="52" t="s">
        <v>213</v>
      </c>
      <c r="H263" s="52">
        <v>1</v>
      </c>
    </row>
    <row r="264" spans="1:8" ht="14.4" x14ac:dyDescent="0.3">
      <c r="A264" s="50">
        <v>1353</v>
      </c>
      <c r="B264" s="51">
        <v>20009001112</v>
      </c>
      <c r="C264" s="52" t="s">
        <v>2135</v>
      </c>
      <c r="D264" s="52" t="s">
        <v>1625</v>
      </c>
      <c r="E264" s="52" t="s">
        <v>1970</v>
      </c>
      <c r="F264" s="52" t="s">
        <v>620</v>
      </c>
      <c r="G264" s="52" t="s">
        <v>213</v>
      </c>
      <c r="H264" s="52">
        <v>1</v>
      </c>
    </row>
    <row r="265" spans="1:8" ht="14.4" x14ac:dyDescent="0.3">
      <c r="A265" s="50">
        <v>1355</v>
      </c>
      <c r="B265" s="51">
        <v>20000340010</v>
      </c>
      <c r="C265" s="52" t="s">
        <v>924</v>
      </c>
      <c r="D265" s="52" t="s">
        <v>925</v>
      </c>
      <c r="E265" s="52" t="s">
        <v>663</v>
      </c>
      <c r="F265" s="52" t="s">
        <v>664</v>
      </c>
      <c r="G265" s="52" t="s">
        <v>244</v>
      </c>
      <c r="H265" s="52">
        <v>1</v>
      </c>
    </row>
    <row r="266" spans="1:8" ht="14.4" x14ac:dyDescent="0.3">
      <c r="A266" s="50">
        <v>1357</v>
      </c>
      <c r="B266" s="51">
        <v>20000330010</v>
      </c>
      <c r="C266" s="52" t="s">
        <v>881</v>
      </c>
      <c r="D266" s="52" t="s">
        <v>882</v>
      </c>
      <c r="E266" s="52" t="s">
        <v>2926</v>
      </c>
      <c r="F266" s="52" t="s">
        <v>664</v>
      </c>
      <c r="G266" s="52" t="s">
        <v>213</v>
      </c>
      <c r="H266" s="52">
        <v>1</v>
      </c>
    </row>
    <row r="267" spans="1:8" ht="14.4" x14ac:dyDescent="0.3">
      <c r="A267" s="50">
        <v>1358</v>
      </c>
      <c r="B267" s="51">
        <v>20000650029</v>
      </c>
      <c r="C267" s="52" t="s">
        <v>1195</v>
      </c>
      <c r="D267" s="52" t="s">
        <v>923</v>
      </c>
      <c r="E267" s="52" t="s">
        <v>1046</v>
      </c>
      <c r="F267" s="52" t="s">
        <v>618</v>
      </c>
      <c r="G267" s="52" t="s">
        <v>244</v>
      </c>
      <c r="H267" s="52">
        <v>1</v>
      </c>
    </row>
    <row r="268" spans="1:8" ht="14.4" x14ac:dyDescent="0.3">
      <c r="A268" s="50">
        <v>1360</v>
      </c>
      <c r="B268" s="51">
        <v>20000560013</v>
      </c>
      <c r="C268" s="52" t="s">
        <v>1021</v>
      </c>
      <c r="D268" s="52" t="s">
        <v>723</v>
      </c>
      <c r="E268" s="52" t="s">
        <v>3391</v>
      </c>
      <c r="F268" s="52" t="s">
        <v>618</v>
      </c>
      <c r="G268" s="52" t="s">
        <v>244</v>
      </c>
      <c r="H268" s="52">
        <v>1</v>
      </c>
    </row>
    <row r="269" spans="1:8" ht="14.4" x14ac:dyDescent="0.3">
      <c r="A269" s="50">
        <v>1362</v>
      </c>
      <c r="B269" s="51">
        <v>20060110033</v>
      </c>
      <c r="C269" s="52" t="s">
        <v>2355</v>
      </c>
      <c r="D269" s="52" t="s">
        <v>2733</v>
      </c>
      <c r="E269" s="52" t="s">
        <v>2015</v>
      </c>
      <c r="F269" s="52" t="s">
        <v>618</v>
      </c>
      <c r="G269" s="52" t="s">
        <v>244</v>
      </c>
      <c r="H269" s="52">
        <v>1</v>
      </c>
    </row>
    <row r="270" spans="1:8" ht="14.4" x14ac:dyDescent="0.3">
      <c r="A270" s="36">
        <v>1364</v>
      </c>
      <c r="B270" s="36">
        <v>20060110033</v>
      </c>
      <c r="C270" s="36" t="s">
        <v>615</v>
      </c>
      <c r="D270" s="36" t="s">
        <v>772</v>
      </c>
      <c r="E270" s="36" t="s">
        <v>2015</v>
      </c>
      <c r="F270" s="36" t="s">
        <v>618</v>
      </c>
      <c r="G270" s="36" t="s">
        <v>244</v>
      </c>
      <c r="H270" s="36">
        <v>1</v>
      </c>
    </row>
    <row r="271" spans="1:8" ht="14.4" x14ac:dyDescent="0.3">
      <c r="A271" s="36">
        <v>1366</v>
      </c>
      <c r="B271" s="36">
        <v>20000570009</v>
      </c>
      <c r="C271" s="36" t="s">
        <v>937</v>
      </c>
      <c r="D271" s="36" t="s">
        <v>1048</v>
      </c>
      <c r="E271" s="36" t="s">
        <v>1049</v>
      </c>
      <c r="F271" s="36" t="s">
        <v>618</v>
      </c>
      <c r="G271" s="36" t="s">
        <v>213</v>
      </c>
      <c r="H271" s="36">
        <v>1</v>
      </c>
    </row>
    <row r="272" spans="1:8" ht="14.4" x14ac:dyDescent="0.3">
      <c r="A272" s="50">
        <v>1367</v>
      </c>
      <c r="B272" s="51">
        <v>20000310010</v>
      </c>
      <c r="C272" s="52" t="s">
        <v>685</v>
      </c>
      <c r="D272" s="52" t="s">
        <v>686</v>
      </c>
      <c r="E272" s="52" t="s">
        <v>2922</v>
      </c>
      <c r="F272" s="52" t="s">
        <v>664</v>
      </c>
      <c r="G272" s="52" t="s">
        <v>213</v>
      </c>
      <c r="H272" s="52">
        <v>1</v>
      </c>
    </row>
    <row r="273" spans="1:8" ht="14.4" x14ac:dyDescent="0.3">
      <c r="A273" s="50">
        <v>1368</v>
      </c>
      <c r="B273" s="51">
        <v>20001350113</v>
      </c>
      <c r="C273" s="52" t="s">
        <v>1958</v>
      </c>
      <c r="D273" s="52" t="s">
        <v>1959</v>
      </c>
      <c r="E273" s="52" t="s">
        <v>1960</v>
      </c>
      <c r="F273" s="52" t="s">
        <v>618</v>
      </c>
      <c r="G273" s="52" t="s">
        <v>213</v>
      </c>
      <c r="H273" s="52">
        <v>1</v>
      </c>
    </row>
    <row r="274" spans="1:8" ht="14.4" x14ac:dyDescent="0.3">
      <c r="A274" s="50">
        <v>1369</v>
      </c>
      <c r="B274" s="51">
        <v>20000330010</v>
      </c>
      <c r="C274" s="52" t="s">
        <v>872</v>
      </c>
      <c r="D274" s="52" t="s">
        <v>873</v>
      </c>
      <c r="E274" s="52" t="s">
        <v>2856</v>
      </c>
      <c r="F274" s="52" t="s">
        <v>664</v>
      </c>
      <c r="G274" s="52" t="s">
        <v>145</v>
      </c>
      <c r="H274" s="52">
        <v>1</v>
      </c>
    </row>
    <row r="275" spans="1:8" ht="14.4" x14ac:dyDescent="0.3">
      <c r="A275" s="50">
        <v>1371</v>
      </c>
      <c r="B275" s="51">
        <v>20000680024</v>
      </c>
      <c r="C275" s="52" t="s">
        <v>1225</v>
      </c>
      <c r="D275" s="52" t="s">
        <v>1226</v>
      </c>
      <c r="E275" s="52" t="s">
        <v>1222</v>
      </c>
      <c r="F275" s="52" t="s">
        <v>618</v>
      </c>
      <c r="G275" s="52" t="s">
        <v>244</v>
      </c>
      <c r="H275" s="52">
        <v>1</v>
      </c>
    </row>
    <row r="276" spans="1:8" ht="14.4" x14ac:dyDescent="0.3">
      <c r="A276" s="50">
        <v>1373</v>
      </c>
      <c r="B276" s="51">
        <v>20000340010</v>
      </c>
      <c r="C276" s="52" t="s">
        <v>909</v>
      </c>
      <c r="D276" s="52" t="s">
        <v>910</v>
      </c>
      <c r="E276" s="52" t="s">
        <v>663</v>
      </c>
      <c r="F276" s="52" t="s">
        <v>664</v>
      </c>
      <c r="G276" s="52" t="s">
        <v>244</v>
      </c>
      <c r="H276" s="52">
        <v>1</v>
      </c>
    </row>
    <row r="277" spans="1:8" ht="14.4" x14ac:dyDescent="0.3">
      <c r="A277" s="50">
        <v>1379</v>
      </c>
      <c r="B277" s="51">
        <v>20001350113</v>
      </c>
      <c r="C277" s="52" t="s">
        <v>1961</v>
      </c>
      <c r="D277" s="52" t="s">
        <v>706</v>
      </c>
      <c r="E277" s="52" t="s">
        <v>1952</v>
      </c>
      <c r="F277" s="52" t="s">
        <v>618</v>
      </c>
      <c r="G277" s="52" t="s">
        <v>213</v>
      </c>
      <c r="H277" s="52">
        <v>1</v>
      </c>
    </row>
    <row r="278" spans="1:8" ht="14.4" x14ac:dyDescent="0.3">
      <c r="A278" s="50">
        <v>1381</v>
      </c>
      <c r="B278" s="51">
        <v>20000310010</v>
      </c>
      <c r="C278" s="52" t="s">
        <v>691</v>
      </c>
      <c r="D278" s="52" t="s">
        <v>690</v>
      </c>
      <c r="E278" s="52" t="s">
        <v>3402</v>
      </c>
      <c r="F278" s="52" t="s">
        <v>618</v>
      </c>
      <c r="G278" s="52" t="s">
        <v>244</v>
      </c>
      <c r="H278" s="52">
        <v>0.8</v>
      </c>
    </row>
    <row r="279" spans="1:8" ht="14.4" x14ac:dyDescent="0.3">
      <c r="A279" s="50">
        <v>1384</v>
      </c>
      <c r="B279" s="51">
        <v>20001260017</v>
      </c>
      <c r="C279" s="52" t="s">
        <v>1908</v>
      </c>
      <c r="D279" s="52" t="s">
        <v>1036</v>
      </c>
      <c r="E279" s="52" t="s">
        <v>1895</v>
      </c>
      <c r="F279" s="52" t="s">
        <v>618</v>
      </c>
      <c r="G279" s="52" t="s">
        <v>244</v>
      </c>
      <c r="H279" s="52">
        <v>1</v>
      </c>
    </row>
    <row r="280" spans="1:8" ht="14.4" x14ac:dyDescent="0.3">
      <c r="A280" s="50">
        <v>1385</v>
      </c>
      <c r="B280" s="51">
        <v>20060110033</v>
      </c>
      <c r="C280" s="52" t="s">
        <v>2357</v>
      </c>
      <c r="D280" s="52" t="s">
        <v>1559</v>
      </c>
      <c r="E280" s="52" t="s">
        <v>2353</v>
      </c>
      <c r="F280" s="52" t="s">
        <v>618</v>
      </c>
      <c r="G280" s="52" t="s">
        <v>244</v>
      </c>
      <c r="H280" s="52">
        <v>1</v>
      </c>
    </row>
    <row r="281" spans="1:8" ht="14.4" x14ac:dyDescent="0.3">
      <c r="A281" s="36">
        <v>1386</v>
      </c>
      <c r="B281" s="36">
        <v>20000560013</v>
      </c>
      <c r="C281" s="36" t="s">
        <v>3283</v>
      </c>
      <c r="D281" s="36" t="s">
        <v>1026</v>
      </c>
      <c r="E281" s="36" t="s">
        <v>1025</v>
      </c>
      <c r="F281" s="36" t="s">
        <v>618</v>
      </c>
      <c r="G281" s="36" t="s">
        <v>213</v>
      </c>
      <c r="H281" s="36">
        <v>1</v>
      </c>
    </row>
    <row r="282" spans="1:8" ht="14.4" x14ac:dyDescent="0.3">
      <c r="A282" s="50">
        <v>1387</v>
      </c>
      <c r="B282" s="51">
        <v>20000310010</v>
      </c>
      <c r="C282" s="52" t="s">
        <v>726</v>
      </c>
      <c r="D282" s="52" t="s">
        <v>727</v>
      </c>
      <c r="E282" s="52" t="s">
        <v>2922</v>
      </c>
      <c r="F282" s="52" t="s">
        <v>664</v>
      </c>
      <c r="G282" s="52" t="s">
        <v>213</v>
      </c>
      <c r="H282" s="52">
        <v>1</v>
      </c>
    </row>
    <row r="283" spans="1:8" ht="14.4" x14ac:dyDescent="0.3">
      <c r="A283" s="50">
        <v>1388</v>
      </c>
      <c r="B283" s="51">
        <v>20001170000</v>
      </c>
      <c r="C283" s="52" t="s">
        <v>1004</v>
      </c>
      <c r="D283" s="52" t="s">
        <v>746</v>
      </c>
      <c r="E283" s="52" t="s">
        <v>3854</v>
      </c>
      <c r="F283" s="52" t="s">
        <v>628</v>
      </c>
      <c r="G283" s="52" t="s">
        <v>213</v>
      </c>
      <c r="H283" s="52">
        <v>1</v>
      </c>
    </row>
    <row r="284" spans="1:8" ht="14.4" x14ac:dyDescent="0.3">
      <c r="A284" s="50">
        <v>1390</v>
      </c>
      <c r="B284" s="51">
        <v>20060110034</v>
      </c>
      <c r="C284" s="52" t="s">
        <v>2361</v>
      </c>
      <c r="D284" s="52" t="s">
        <v>2362</v>
      </c>
      <c r="E284" s="52" t="s">
        <v>2015</v>
      </c>
      <c r="F284" s="52" t="s">
        <v>618</v>
      </c>
      <c r="G284" s="52" t="s">
        <v>244</v>
      </c>
      <c r="H284" s="52">
        <v>1</v>
      </c>
    </row>
    <row r="285" spans="1:8" ht="14.4" x14ac:dyDescent="0.3">
      <c r="A285" s="36">
        <v>1393</v>
      </c>
      <c r="B285" s="36">
        <v>20060110033</v>
      </c>
      <c r="C285" s="36" t="s">
        <v>2352</v>
      </c>
      <c r="D285" s="36" t="s">
        <v>1279</v>
      </c>
      <c r="E285" s="36" t="s">
        <v>2353</v>
      </c>
      <c r="F285" s="36" t="s">
        <v>618</v>
      </c>
      <c r="G285" s="36" t="s">
        <v>244</v>
      </c>
      <c r="H285" s="36">
        <v>1</v>
      </c>
    </row>
    <row r="286" spans="1:8" ht="14.4" x14ac:dyDescent="0.3">
      <c r="A286" s="36">
        <v>1394</v>
      </c>
      <c r="B286" s="36">
        <v>20000830030</v>
      </c>
      <c r="C286" s="36" t="s">
        <v>1274</v>
      </c>
      <c r="D286" s="36" t="s">
        <v>865</v>
      </c>
      <c r="E286" s="36" t="s">
        <v>1275</v>
      </c>
      <c r="F286" s="36" t="s">
        <v>618</v>
      </c>
      <c r="G286" s="36" t="s">
        <v>213</v>
      </c>
      <c r="H286" s="36">
        <v>1</v>
      </c>
    </row>
    <row r="287" spans="1:8" ht="14.4" x14ac:dyDescent="0.3">
      <c r="A287" s="50">
        <v>1396</v>
      </c>
      <c r="B287" s="51">
        <v>20001260017</v>
      </c>
      <c r="C287" s="52" t="s">
        <v>1911</v>
      </c>
      <c r="D287" s="52" t="s">
        <v>688</v>
      </c>
      <c r="E287" s="52" t="s">
        <v>1912</v>
      </c>
      <c r="F287" s="52" t="s">
        <v>618</v>
      </c>
      <c r="G287" s="52" t="s">
        <v>244</v>
      </c>
      <c r="H287" s="52">
        <v>1</v>
      </c>
    </row>
    <row r="288" spans="1:8" ht="14.4" x14ac:dyDescent="0.3">
      <c r="A288" s="50">
        <v>1397</v>
      </c>
      <c r="B288" s="51">
        <v>20000310010</v>
      </c>
      <c r="C288" s="52" t="s">
        <v>722</v>
      </c>
      <c r="D288" s="52" t="s">
        <v>723</v>
      </c>
      <c r="E288" s="52" t="s">
        <v>2922</v>
      </c>
      <c r="F288" s="52" t="s">
        <v>664</v>
      </c>
      <c r="G288" s="52" t="s">
        <v>213</v>
      </c>
      <c r="H288" s="52">
        <v>1</v>
      </c>
    </row>
    <row r="289" spans="1:8" ht="14.4" x14ac:dyDescent="0.3">
      <c r="A289" s="50">
        <v>1398</v>
      </c>
      <c r="B289" s="51">
        <v>20000310010</v>
      </c>
      <c r="C289" s="52" t="s">
        <v>696</v>
      </c>
      <c r="D289" s="52" t="s">
        <v>697</v>
      </c>
      <c r="E289" s="52" t="s">
        <v>2922</v>
      </c>
      <c r="F289" s="52" t="s">
        <v>664</v>
      </c>
      <c r="G289" s="52" t="s">
        <v>213</v>
      </c>
      <c r="H289" s="52">
        <v>1</v>
      </c>
    </row>
    <row r="290" spans="1:8" ht="14.4" x14ac:dyDescent="0.3">
      <c r="A290" s="50">
        <v>1401</v>
      </c>
      <c r="B290" s="51">
        <v>20000330010</v>
      </c>
      <c r="C290" s="52" t="s">
        <v>665</v>
      </c>
      <c r="D290" s="52" t="s">
        <v>666</v>
      </c>
      <c r="E290" s="52" t="s">
        <v>2926</v>
      </c>
      <c r="F290" s="52" t="s">
        <v>664</v>
      </c>
      <c r="G290" s="52" t="s">
        <v>145</v>
      </c>
      <c r="H290" s="52">
        <v>1</v>
      </c>
    </row>
    <row r="291" spans="1:8" ht="14.4" x14ac:dyDescent="0.3">
      <c r="A291" s="50">
        <v>1404</v>
      </c>
      <c r="B291" s="51">
        <v>20000310010</v>
      </c>
      <c r="C291" s="52" t="s">
        <v>675</v>
      </c>
      <c r="D291" s="52" t="s">
        <v>676</v>
      </c>
      <c r="E291" s="52" t="s">
        <v>2922</v>
      </c>
      <c r="F291" s="52" t="s">
        <v>664</v>
      </c>
      <c r="G291" s="52" t="s">
        <v>244</v>
      </c>
      <c r="H291" s="52">
        <v>0.5</v>
      </c>
    </row>
    <row r="292" spans="1:8" ht="14.4" x14ac:dyDescent="0.3">
      <c r="A292" s="50">
        <v>1411</v>
      </c>
      <c r="B292" s="51">
        <v>20001350113</v>
      </c>
      <c r="C292" s="52" t="s">
        <v>926</v>
      </c>
      <c r="D292" s="52" t="s">
        <v>1048</v>
      </c>
      <c r="E292" s="52" t="s">
        <v>1952</v>
      </c>
      <c r="F292" s="52" t="s">
        <v>618</v>
      </c>
      <c r="G292" s="52" t="s">
        <v>244</v>
      </c>
      <c r="H292" s="52">
        <v>1</v>
      </c>
    </row>
    <row r="293" spans="1:8" ht="14.4" x14ac:dyDescent="0.3">
      <c r="A293" s="50">
        <v>1414</v>
      </c>
      <c r="B293" s="51">
        <v>20000650027</v>
      </c>
      <c r="C293" s="52" t="s">
        <v>1176</v>
      </c>
      <c r="D293" s="52" t="s">
        <v>1177</v>
      </c>
      <c r="E293" s="52" t="s">
        <v>3389</v>
      </c>
      <c r="F293" s="52" t="s">
        <v>618</v>
      </c>
      <c r="G293" s="52" t="s">
        <v>213</v>
      </c>
      <c r="H293" s="52">
        <v>1</v>
      </c>
    </row>
    <row r="294" spans="1:8" ht="14.4" x14ac:dyDescent="0.3">
      <c r="A294" s="50">
        <v>1417</v>
      </c>
      <c r="B294" s="51">
        <v>20009001112</v>
      </c>
      <c r="C294" s="52" t="s">
        <v>2164</v>
      </c>
      <c r="D294" s="52" t="s">
        <v>850</v>
      </c>
      <c r="E294" s="52" t="s">
        <v>1970</v>
      </c>
      <c r="F294" s="52" t="s">
        <v>620</v>
      </c>
      <c r="G294" s="52" t="s">
        <v>244</v>
      </c>
      <c r="H294" s="52">
        <v>1</v>
      </c>
    </row>
    <row r="295" spans="1:8" ht="14.4" x14ac:dyDescent="0.3">
      <c r="A295" s="50">
        <v>1418</v>
      </c>
      <c r="B295" s="51">
        <v>20001104088</v>
      </c>
      <c r="C295" s="52" t="s">
        <v>985</v>
      </c>
      <c r="D295" s="52" t="s">
        <v>668</v>
      </c>
      <c r="E295" s="52" t="s">
        <v>3403</v>
      </c>
      <c r="F295" s="52" t="s">
        <v>620</v>
      </c>
      <c r="G295" s="52" t="s">
        <v>244</v>
      </c>
      <c r="H295" s="52">
        <v>1</v>
      </c>
    </row>
    <row r="296" spans="1:8" ht="14.4" x14ac:dyDescent="0.3">
      <c r="A296" s="50">
        <v>1420</v>
      </c>
      <c r="B296" s="51">
        <v>20000570009</v>
      </c>
      <c r="C296" s="52" t="s">
        <v>1032</v>
      </c>
      <c r="D296" s="52" t="s">
        <v>1033</v>
      </c>
      <c r="E296" s="52" t="s">
        <v>1193</v>
      </c>
      <c r="F296" s="52" t="s">
        <v>618</v>
      </c>
      <c r="G296" s="52" t="s">
        <v>213</v>
      </c>
      <c r="H296" s="52">
        <v>1</v>
      </c>
    </row>
    <row r="297" spans="1:8" ht="14.4" x14ac:dyDescent="0.3">
      <c r="A297" s="50">
        <v>1425</v>
      </c>
      <c r="B297" s="51">
        <v>20000300130</v>
      </c>
      <c r="C297" s="52" t="s">
        <v>1899</v>
      </c>
      <c r="D297" s="52" t="s">
        <v>1900</v>
      </c>
      <c r="E297" s="52" t="s">
        <v>1901</v>
      </c>
      <c r="F297" s="52" t="s">
        <v>618</v>
      </c>
      <c r="G297" s="52" t="s">
        <v>244</v>
      </c>
      <c r="H297" s="52">
        <v>1</v>
      </c>
    </row>
    <row r="298" spans="1:8" ht="14.4" x14ac:dyDescent="0.3">
      <c r="A298" s="50">
        <v>1431</v>
      </c>
      <c r="B298" s="51">
        <v>20000310010</v>
      </c>
      <c r="C298" s="52" t="s">
        <v>705</v>
      </c>
      <c r="D298" s="52" t="s">
        <v>706</v>
      </c>
      <c r="E298" s="52" t="s">
        <v>2922</v>
      </c>
      <c r="F298" s="52" t="s">
        <v>664</v>
      </c>
      <c r="G298" s="52" t="s">
        <v>213</v>
      </c>
      <c r="H298" s="52">
        <v>1</v>
      </c>
    </row>
    <row r="299" spans="1:8" ht="14.4" x14ac:dyDescent="0.3">
      <c r="A299" s="50">
        <v>1433</v>
      </c>
      <c r="B299" s="51">
        <v>20000950098</v>
      </c>
      <c r="C299" s="52" t="s">
        <v>947</v>
      </c>
      <c r="D299" s="52" t="s">
        <v>844</v>
      </c>
      <c r="E299" s="52" t="s">
        <v>1310</v>
      </c>
      <c r="F299" s="52" t="s">
        <v>2765</v>
      </c>
      <c r="G299" s="52" t="s">
        <v>244</v>
      </c>
      <c r="H299" s="52">
        <v>1</v>
      </c>
    </row>
    <row r="300" spans="1:8" ht="14.4" x14ac:dyDescent="0.3">
      <c r="A300" s="50">
        <v>1434</v>
      </c>
      <c r="B300" s="51">
        <v>20022001104</v>
      </c>
      <c r="C300" s="52" t="s">
        <v>2037</v>
      </c>
      <c r="D300" s="52" t="s">
        <v>887</v>
      </c>
      <c r="E300" s="52" t="s">
        <v>3385</v>
      </c>
      <c r="F300" s="52" t="s">
        <v>620</v>
      </c>
      <c r="G300" s="52" t="s">
        <v>244</v>
      </c>
      <c r="H300" s="52">
        <v>1</v>
      </c>
    </row>
    <row r="301" spans="1:8" ht="14.4" x14ac:dyDescent="0.3">
      <c r="A301" s="36">
        <v>1436</v>
      </c>
      <c r="B301" s="36">
        <v>20001102068</v>
      </c>
      <c r="C301" s="36" t="s">
        <v>1726</v>
      </c>
      <c r="D301" s="36" t="s">
        <v>772</v>
      </c>
      <c r="E301" s="36" t="s">
        <v>1716</v>
      </c>
      <c r="F301" s="36" t="s">
        <v>628</v>
      </c>
      <c r="G301" s="36" t="s">
        <v>145</v>
      </c>
      <c r="H301" s="36">
        <v>1</v>
      </c>
    </row>
    <row r="302" spans="1:8" ht="14.4" x14ac:dyDescent="0.3">
      <c r="A302" s="50">
        <v>1438</v>
      </c>
      <c r="B302" s="51">
        <v>20000310010</v>
      </c>
      <c r="C302" s="52" t="s">
        <v>694</v>
      </c>
      <c r="D302" s="52" t="s">
        <v>695</v>
      </c>
      <c r="E302" s="52" t="s">
        <v>2922</v>
      </c>
      <c r="F302" s="52" t="s">
        <v>664</v>
      </c>
      <c r="G302" s="52" t="s">
        <v>213</v>
      </c>
      <c r="H302" s="52">
        <v>1</v>
      </c>
    </row>
    <row r="303" spans="1:8" ht="14.4" x14ac:dyDescent="0.3">
      <c r="A303" s="50">
        <v>1440</v>
      </c>
      <c r="B303" s="51">
        <v>20020120015</v>
      </c>
      <c r="C303" s="52" t="s">
        <v>2287</v>
      </c>
      <c r="D303" s="52" t="s">
        <v>639</v>
      </c>
      <c r="E303" s="52" t="s">
        <v>2288</v>
      </c>
      <c r="F303" s="52" t="s">
        <v>618</v>
      </c>
      <c r="G303" s="52" t="s">
        <v>244</v>
      </c>
      <c r="H303" s="52">
        <v>1</v>
      </c>
    </row>
    <row r="304" spans="1:8" ht="14.4" x14ac:dyDescent="0.3">
      <c r="A304" s="50">
        <v>1442</v>
      </c>
      <c r="B304" s="51">
        <v>20000570009</v>
      </c>
      <c r="C304" s="52" t="s">
        <v>1035</v>
      </c>
      <c r="D304" s="52" t="s">
        <v>1036</v>
      </c>
      <c r="E304" s="52" t="s">
        <v>3284</v>
      </c>
      <c r="F304" s="52" t="s">
        <v>618</v>
      </c>
      <c r="G304" s="52" t="s">
        <v>244</v>
      </c>
      <c r="H304" s="52">
        <v>1</v>
      </c>
    </row>
    <row r="305" spans="1:8" ht="14.4" x14ac:dyDescent="0.3">
      <c r="A305" s="50">
        <v>1445</v>
      </c>
      <c r="B305" s="51">
        <v>20009001108</v>
      </c>
      <c r="C305" s="52" t="s">
        <v>2070</v>
      </c>
      <c r="D305" s="52" t="s">
        <v>868</v>
      </c>
      <c r="E305" s="52" t="s">
        <v>3404</v>
      </c>
      <c r="F305" s="52" t="s">
        <v>628</v>
      </c>
      <c r="G305" s="52" t="s">
        <v>244</v>
      </c>
      <c r="H305" s="52">
        <v>1</v>
      </c>
    </row>
    <row r="306" spans="1:8" ht="14.4" x14ac:dyDescent="0.3">
      <c r="A306" s="50">
        <v>1446</v>
      </c>
      <c r="B306" s="51">
        <v>20009001112</v>
      </c>
      <c r="C306" s="52" t="s">
        <v>2155</v>
      </c>
      <c r="D306" s="52" t="s">
        <v>2132</v>
      </c>
      <c r="E306" s="52" t="s">
        <v>1970</v>
      </c>
      <c r="F306" s="52" t="s">
        <v>620</v>
      </c>
      <c r="G306" s="52" t="s">
        <v>244</v>
      </c>
      <c r="H306" s="52">
        <v>1</v>
      </c>
    </row>
    <row r="307" spans="1:8" ht="14.4" x14ac:dyDescent="0.3">
      <c r="A307" s="50">
        <v>1447</v>
      </c>
      <c r="B307" s="51">
        <v>20000630026</v>
      </c>
      <c r="C307" s="52" t="s">
        <v>1136</v>
      </c>
      <c r="D307" s="52" t="s">
        <v>1137</v>
      </c>
      <c r="E307" s="52" t="s">
        <v>1118</v>
      </c>
      <c r="F307" s="52" t="s">
        <v>618</v>
      </c>
      <c r="G307" s="52" t="s">
        <v>244</v>
      </c>
      <c r="H307" s="52">
        <v>1</v>
      </c>
    </row>
    <row r="308" spans="1:8" ht="14.4" x14ac:dyDescent="0.3">
      <c r="A308" s="50">
        <v>1449</v>
      </c>
      <c r="B308" s="51">
        <v>20000830030</v>
      </c>
      <c r="C308" s="52" t="s">
        <v>1276</v>
      </c>
      <c r="D308" s="52" t="s">
        <v>700</v>
      </c>
      <c r="E308" s="52" t="s">
        <v>1277</v>
      </c>
      <c r="F308" s="52" t="s">
        <v>620</v>
      </c>
      <c r="G308" s="52" t="s">
        <v>244</v>
      </c>
      <c r="H308" s="52">
        <v>1</v>
      </c>
    </row>
    <row r="309" spans="1:8" ht="14.4" x14ac:dyDescent="0.3">
      <c r="A309" s="50">
        <v>1450</v>
      </c>
      <c r="B309" s="51">
        <v>20001050115</v>
      </c>
      <c r="C309" s="52" t="s">
        <v>1196</v>
      </c>
      <c r="D309" s="52" t="s">
        <v>1197</v>
      </c>
      <c r="E309" s="52" t="s">
        <v>2943</v>
      </c>
      <c r="F309" s="52" t="s">
        <v>618</v>
      </c>
      <c r="G309" s="52" t="s">
        <v>213</v>
      </c>
      <c r="H309" s="52">
        <v>1</v>
      </c>
    </row>
    <row r="310" spans="1:8" ht="14.4" x14ac:dyDescent="0.3">
      <c r="A310" s="50">
        <v>1453</v>
      </c>
      <c r="B310" s="51">
        <v>20000680024</v>
      </c>
      <c r="C310" s="52" t="s">
        <v>1230</v>
      </c>
      <c r="D310" s="52" t="s">
        <v>1231</v>
      </c>
      <c r="E310" s="52" t="s">
        <v>1232</v>
      </c>
      <c r="F310" s="52" t="s">
        <v>618</v>
      </c>
      <c r="G310" s="52" t="s">
        <v>213</v>
      </c>
      <c r="H310" s="52">
        <v>1</v>
      </c>
    </row>
    <row r="311" spans="1:8" ht="14.4" x14ac:dyDescent="0.3">
      <c r="A311" s="50">
        <v>1454</v>
      </c>
      <c r="B311" s="51">
        <v>20000330010</v>
      </c>
      <c r="C311" s="52" t="s">
        <v>869</v>
      </c>
      <c r="D311" s="52" t="s">
        <v>870</v>
      </c>
      <c r="E311" s="52" t="s">
        <v>3402</v>
      </c>
      <c r="F311" s="52" t="s">
        <v>618</v>
      </c>
      <c r="G311" s="52" t="s">
        <v>244</v>
      </c>
      <c r="H311" s="52">
        <v>1</v>
      </c>
    </row>
    <row r="312" spans="1:8" ht="14.4" x14ac:dyDescent="0.3">
      <c r="A312" s="50">
        <v>1457</v>
      </c>
      <c r="B312" s="51">
        <v>20000650027</v>
      </c>
      <c r="C312" s="52" t="s">
        <v>1183</v>
      </c>
      <c r="D312" s="52" t="s">
        <v>1184</v>
      </c>
      <c r="E312" s="52" t="s">
        <v>1162</v>
      </c>
      <c r="F312" s="52" t="s">
        <v>618</v>
      </c>
      <c r="G312" s="52" t="s">
        <v>213</v>
      </c>
      <c r="H312" s="52">
        <v>1</v>
      </c>
    </row>
    <row r="313" spans="1:8" ht="14.4" x14ac:dyDescent="0.3">
      <c r="A313" s="50">
        <v>1463</v>
      </c>
      <c r="B313" s="51">
        <v>20009001108</v>
      </c>
      <c r="C313" s="52" t="s">
        <v>2075</v>
      </c>
      <c r="D313" s="52" t="s">
        <v>2076</v>
      </c>
      <c r="E313" s="52" t="s">
        <v>1970</v>
      </c>
      <c r="F313" s="52" t="s">
        <v>628</v>
      </c>
      <c r="G313" s="52" t="s">
        <v>213</v>
      </c>
      <c r="H313" s="52">
        <v>1</v>
      </c>
    </row>
    <row r="314" spans="1:8" ht="14.4" x14ac:dyDescent="0.3">
      <c r="A314" s="50">
        <v>1469</v>
      </c>
      <c r="B314" s="51">
        <v>20060110031</v>
      </c>
      <c r="C314" s="52" t="s">
        <v>2344</v>
      </c>
      <c r="D314" s="52" t="s">
        <v>2345</v>
      </c>
      <c r="E314" s="52" t="s">
        <v>2346</v>
      </c>
      <c r="F314" s="52" t="s">
        <v>628</v>
      </c>
      <c r="G314" s="52" t="s">
        <v>244</v>
      </c>
      <c r="H314" s="52">
        <v>1</v>
      </c>
    </row>
    <row r="315" spans="1:8" ht="14.4" x14ac:dyDescent="0.3">
      <c r="A315" s="36">
        <v>1472</v>
      </c>
      <c r="B315" s="36">
        <v>20000310010</v>
      </c>
      <c r="C315" s="36" t="s">
        <v>728</v>
      </c>
      <c r="D315" s="36" t="s">
        <v>729</v>
      </c>
      <c r="E315" s="36" t="s">
        <v>3402</v>
      </c>
      <c r="F315" s="36" t="s">
        <v>618</v>
      </c>
      <c r="G315" s="36" t="s">
        <v>244</v>
      </c>
      <c r="H315" s="36">
        <v>1</v>
      </c>
    </row>
    <row r="316" spans="1:8" ht="14.4" x14ac:dyDescent="0.3">
      <c r="A316" s="50">
        <v>1473</v>
      </c>
      <c r="B316" s="51">
        <v>20000360011</v>
      </c>
      <c r="C316" s="52" t="s">
        <v>954</v>
      </c>
      <c r="D316" s="52" t="s">
        <v>951</v>
      </c>
      <c r="E316" s="52" t="s">
        <v>955</v>
      </c>
      <c r="F316" s="52" t="s">
        <v>742</v>
      </c>
      <c r="G316" s="52" t="s">
        <v>244</v>
      </c>
      <c r="H316" s="52">
        <v>1</v>
      </c>
    </row>
    <row r="317" spans="1:8" ht="14.4" x14ac:dyDescent="0.3">
      <c r="A317" s="50">
        <v>1474</v>
      </c>
      <c r="B317" s="51">
        <v>20001350113</v>
      </c>
      <c r="C317" s="52" t="s">
        <v>1956</v>
      </c>
      <c r="D317" s="52" t="s">
        <v>1504</v>
      </c>
      <c r="E317" s="52" t="s">
        <v>1957</v>
      </c>
      <c r="F317" s="52" t="s">
        <v>618</v>
      </c>
      <c r="G317" s="52" t="s">
        <v>244</v>
      </c>
      <c r="H317" s="52">
        <v>1</v>
      </c>
    </row>
    <row r="318" spans="1:8" ht="14.4" x14ac:dyDescent="0.3">
      <c r="A318" s="50">
        <v>1477</v>
      </c>
      <c r="B318" s="51">
        <v>20001350113</v>
      </c>
      <c r="C318" s="52" t="s">
        <v>1943</v>
      </c>
      <c r="D318" s="52" t="s">
        <v>1944</v>
      </c>
      <c r="E318" s="52" t="s">
        <v>1945</v>
      </c>
      <c r="F318" s="52" t="s">
        <v>618</v>
      </c>
      <c r="G318" s="52" t="s">
        <v>244</v>
      </c>
      <c r="H318" s="52">
        <v>1</v>
      </c>
    </row>
    <row r="319" spans="1:8" ht="14.4" x14ac:dyDescent="0.3">
      <c r="A319" s="50">
        <v>1478</v>
      </c>
      <c r="B319" s="51">
        <v>20001260017</v>
      </c>
      <c r="C319" s="52" t="s">
        <v>1924</v>
      </c>
      <c r="D319" s="52" t="s">
        <v>1492</v>
      </c>
      <c r="E319" s="52" t="s">
        <v>1921</v>
      </c>
      <c r="F319" s="52" t="s">
        <v>618</v>
      </c>
      <c r="G319" s="52" t="s">
        <v>244</v>
      </c>
      <c r="H319" s="52">
        <v>1</v>
      </c>
    </row>
    <row r="320" spans="1:8" ht="14.4" x14ac:dyDescent="0.3">
      <c r="A320" s="50">
        <v>1481</v>
      </c>
      <c r="B320" s="51">
        <v>20000570123</v>
      </c>
      <c r="C320" s="52" t="s">
        <v>1098</v>
      </c>
      <c r="D320" s="52" t="s">
        <v>1099</v>
      </c>
      <c r="E320" s="52" t="s">
        <v>1031</v>
      </c>
      <c r="F320" s="52" t="s">
        <v>620</v>
      </c>
      <c r="G320" s="52" t="s">
        <v>213</v>
      </c>
      <c r="H320" s="52">
        <v>1</v>
      </c>
    </row>
    <row r="321" spans="1:8" ht="14.4" x14ac:dyDescent="0.3">
      <c r="A321" s="50">
        <v>1482</v>
      </c>
      <c r="B321" s="51">
        <v>20020092067</v>
      </c>
      <c r="C321" s="52" t="s">
        <v>1498</v>
      </c>
      <c r="D321" s="52" t="s">
        <v>721</v>
      </c>
      <c r="E321" s="52" t="s">
        <v>2237</v>
      </c>
      <c r="F321" s="52" t="s">
        <v>628</v>
      </c>
      <c r="G321" s="52" t="s">
        <v>213</v>
      </c>
      <c r="H321" s="52">
        <v>1</v>
      </c>
    </row>
    <row r="322" spans="1:8" ht="14.4" x14ac:dyDescent="0.3">
      <c r="A322" s="50">
        <v>1483</v>
      </c>
      <c r="B322" s="51">
        <v>20001104092</v>
      </c>
      <c r="C322" s="52" t="s">
        <v>1833</v>
      </c>
      <c r="D322" s="52" t="s">
        <v>2727</v>
      </c>
      <c r="E322" s="52" t="s">
        <v>3405</v>
      </c>
      <c r="F322" s="52" t="s">
        <v>1086</v>
      </c>
      <c r="G322" s="52" t="s">
        <v>244</v>
      </c>
      <c r="H322" s="52">
        <v>1</v>
      </c>
    </row>
    <row r="323" spans="1:8" ht="14.4" x14ac:dyDescent="0.3">
      <c r="A323" s="50">
        <v>1485</v>
      </c>
      <c r="B323" s="51">
        <v>20000560013</v>
      </c>
      <c r="C323" s="52" t="s">
        <v>1023</v>
      </c>
      <c r="D323" s="52" t="s">
        <v>1024</v>
      </c>
      <c r="E323" s="52" t="s">
        <v>1025</v>
      </c>
      <c r="F323" s="52" t="s">
        <v>618</v>
      </c>
      <c r="G323" s="52" t="s">
        <v>213</v>
      </c>
      <c r="H323" s="52">
        <v>1</v>
      </c>
    </row>
    <row r="324" spans="1:8" ht="14.4" x14ac:dyDescent="0.3">
      <c r="A324" s="50">
        <v>1486</v>
      </c>
      <c r="B324" s="51">
        <v>20000830030</v>
      </c>
      <c r="C324" s="52" t="s">
        <v>1262</v>
      </c>
      <c r="D324" s="52" t="s">
        <v>1263</v>
      </c>
      <c r="E324" s="52" t="s">
        <v>1264</v>
      </c>
      <c r="F324" s="52" t="s">
        <v>618</v>
      </c>
      <c r="G324" s="52" t="s">
        <v>213</v>
      </c>
      <c r="H324" s="52">
        <v>1</v>
      </c>
    </row>
    <row r="325" spans="1:8" ht="14.4" x14ac:dyDescent="0.3">
      <c r="A325" s="50">
        <v>1488</v>
      </c>
      <c r="B325" s="51">
        <v>20022001104</v>
      </c>
      <c r="C325" s="52" t="s">
        <v>2316</v>
      </c>
      <c r="D325" s="52" t="s">
        <v>2317</v>
      </c>
      <c r="E325" s="52" t="s">
        <v>2100</v>
      </c>
      <c r="F325" s="52" t="s">
        <v>620</v>
      </c>
      <c r="G325" s="52" t="s">
        <v>213</v>
      </c>
      <c r="H325" s="52">
        <v>1</v>
      </c>
    </row>
    <row r="326" spans="1:8" ht="14.4" x14ac:dyDescent="0.3">
      <c r="A326" s="50">
        <v>1489</v>
      </c>
      <c r="B326" s="51">
        <v>20020054090</v>
      </c>
      <c r="C326" s="52" t="s">
        <v>2229</v>
      </c>
      <c r="D326" s="52" t="s">
        <v>2230</v>
      </c>
      <c r="E326" s="52" t="s">
        <v>2231</v>
      </c>
      <c r="F326" s="52" t="s">
        <v>1086</v>
      </c>
      <c r="G326" s="52" t="s">
        <v>213</v>
      </c>
      <c r="H326" s="52">
        <v>1</v>
      </c>
    </row>
    <row r="327" spans="1:8" ht="14.4" x14ac:dyDescent="0.3">
      <c r="A327" s="50">
        <v>1491</v>
      </c>
      <c r="B327" s="51">
        <v>20020112073</v>
      </c>
      <c r="C327" s="52" t="s">
        <v>2259</v>
      </c>
      <c r="D327" s="52" t="s">
        <v>2260</v>
      </c>
      <c r="E327" s="52" t="s">
        <v>1807</v>
      </c>
      <c r="F327" s="52" t="s">
        <v>628</v>
      </c>
      <c r="G327" s="52" t="s">
        <v>244</v>
      </c>
      <c r="H327" s="52">
        <v>1</v>
      </c>
    </row>
    <row r="328" spans="1:8" ht="14.4" x14ac:dyDescent="0.3">
      <c r="A328" s="50">
        <v>1492</v>
      </c>
      <c r="B328" s="51">
        <v>20000330010</v>
      </c>
      <c r="C328" s="52" t="s">
        <v>866</v>
      </c>
      <c r="D328" s="52" t="s">
        <v>741</v>
      </c>
      <c r="E328" s="52" t="s">
        <v>2926</v>
      </c>
      <c r="F328" s="52" t="s">
        <v>664</v>
      </c>
      <c r="G328" s="52" t="s">
        <v>213</v>
      </c>
      <c r="H328" s="52">
        <v>1</v>
      </c>
    </row>
    <row r="329" spans="1:8" ht="14.4" x14ac:dyDescent="0.3">
      <c r="A329" s="50">
        <v>1496</v>
      </c>
      <c r="B329" s="51">
        <v>20022001102</v>
      </c>
      <c r="C329" s="52" t="s">
        <v>2302</v>
      </c>
      <c r="D329" s="52" t="s">
        <v>2303</v>
      </c>
      <c r="E329" s="52" t="s">
        <v>2100</v>
      </c>
      <c r="F329" s="52" t="s">
        <v>628</v>
      </c>
      <c r="G329" s="52" t="s">
        <v>244</v>
      </c>
      <c r="H329" s="52">
        <v>1</v>
      </c>
    </row>
    <row r="330" spans="1:8" ht="14.4" x14ac:dyDescent="0.3">
      <c r="A330" s="50">
        <v>1497</v>
      </c>
      <c r="B330" s="51">
        <v>20001260017</v>
      </c>
      <c r="C330" s="52" t="s">
        <v>1902</v>
      </c>
      <c r="D330" s="52" t="s">
        <v>1903</v>
      </c>
      <c r="E330" s="52" t="s">
        <v>1895</v>
      </c>
      <c r="F330" s="52" t="s">
        <v>618</v>
      </c>
      <c r="G330" s="52" t="s">
        <v>213</v>
      </c>
      <c r="H330" s="52">
        <v>1</v>
      </c>
    </row>
    <row r="331" spans="1:8" ht="14.4" x14ac:dyDescent="0.3">
      <c r="A331" s="50">
        <v>1500</v>
      </c>
      <c r="B331" s="51">
        <v>20000950132</v>
      </c>
      <c r="C331" s="52" t="s">
        <v>703</v>
      </c>
      <c r="D331" s="52" t="s">
        <v>818</v>
      </c>
      <c r="E331" s="52" t="s">
        <v>3548</v>
      </c>
      <c r="F331" s="52" t="s">
        <v>2765</v>
      </c>
      <c r="G331" s="52" t="s">
        <v>213</v>
      </c>
      <c r="H331" s="52">
        <v>1</v>
      </c>
    </row>
    <row r="332" spans="1:8" ht="14.4" x14ac:dyDescent="0.3">
      <c r="A332" s="50">
        <v>1502</v>
      </c>
      <c r="B332" s="51">
        <v>20000110106</v>
      </c>
      <c r="C332" s="52" t="s">
        <v>651</v>
      </c>
      <c r="D332" s="52" t="s">
        <v>652</v>
      </c>
      <c r="E332" s="52" t="s">
        <v>633</v>
      </c>
      <c r="F332" s="52" t="s">
        <v>620</v>
      </c>
      <c r="G332" s="52" t="s">
        <v>244</v>
      </c>
      <c r="H332" s="52">
        <v>1</v>
      </c>
    </row>
    <row r="333" spans="1:8" ht="14.4" x14ac:dyDescent="0.3">
      <c r="A333" s="50">
        <v>1504</v>
      </c>
      <c r="B333" s="51">
        <v>20001102068</v>
      </c>
      <c r="C333" s="52" t="s">
        <v>1733</v>
      </c>
      <c r="D333" s="52" t="s">
        <v>981</v>
      </c>
      <c r="E333" s="52" t="s">
        <v>1639</v>
      </c>
      <c r="F333" s="52" t="s">
        <v>628</v>
      </c>
      <c r="G333" s="52" t="s">
        <v>213</v>
      </c>
      <c r="H333" s="52">
        <v>1</v>
      </c>
    </row>
    <row r="334" spans="1:8" ht="14.4" x14ac:dyDescent="0.3">
      <c r="A334" s="50">
        <v>1507</v>
      </c>
      <c r="B334" s="51">
        <v>20001103078</v>
      </c>
      <c r="C334" s="52" t="s">
        <v>1784</v>
      </c>
      <c r="D334" s="52" t="s">
        <v>1504</v>
      </c>
      <c r="E334" s="52" t="s">
        <v>663</v>
      </c>
      <c r="F334" s="52" t="s">
        <v>1313</v>
      </c>
      <c r="G334" s="52" t="s">
        <v>213</v>
      </c>
      <c r="H334" s="52">
        <v>1</v>
      </c>
    </row>
    <row r="335" spans="1:8" ht="14.4" x14ac:dyDescent="0.3">
      <c r="A335" s="50">
        <v>1508</v>
      </c>
      <c r="B335" s="51">
        <v>20001103078</v>
      </c>
      <c r="C335" s="52" t="s">
        <v>1782</v>
      </c>
      <c r="D335" s="52" t="s">
        <v>1783</v>
      </c>
      <c r="E335" s="52" t="s">
        <v>3406</v>
      </c>
      <c r="F335" s="52" t="s">
        <v>1313</v>
      </c>
      <c r="G335" s="52" t="s">
        <v>244</v>
      </c>
      <c r="H335" s="52">
        <v>1</v>
      </c>
    </row>
    <row r="336" spans="1:8" ht="14.4" x14ac:dyDescent="0.3">
      <c r="A336" s="50">
        <v>1509</v>
      </c>
      <c r="B336" s="51">
        <v>20000630026</v>
      </c>
      <c r="C336" s="52" t="s">
        <v>871</v>
      </c>
      <c r="D336" s="52" t="s">
        <v>704</v>
      </c>
      <c r="E336" s="52" t="s">
        <v>1109</v>
      </c>
      <c r="F336" s="52" t="s">
        <v>618</v>
      </c>
      <c r="G336" s="52" t="s">
        <v>213</v>
      </c>
      <c r="H336" s="52">
        <v>1</v>
      </c>
    </row>
    <row r="337" spans="1:8" ht="14.4" x14ac:dyDescent="0.3">
      <c r="A337" s="50">
        <v>1510</v>
      </c>
      <c r="B337" s="51">
        <v>20009001113</v>
      </c>
      <c r="C337" s="52" t="s">
        <v>2171</v>
      </c>
      <c r="D337" s="52" t="s">
        <v>2142</v>
      </c>
      <c r="E337" s="52" t="s">
        <v>1970</v>
      </c>
      <c r="F337" s="52" t="s">
        <v>1086</v>
      </c>
      <c r="G337" s="52" t="s">
        <v>213</v>
      </c>
      <c r="H337" s="52">
        <v>1</v>
      </c>
    </row>
    <row r="338" spans="1:8" ht="14.4" x14ac:dyDescent="0.3">
      <c r="A338" s="50">
        <v>1511</v>
      </c>
      <c r="B338" s="51">
        <v>20001102068</v>
      </c>
      <c r="C338" s="52" t="s">
        <v>1712</v>
      </c>
      <c r="D338" s="52" t="s">
        <v>1252</v>
      </c>
      <c r="E338" s="52" t="s">
        <v>3677</v>
      </c>
      <c r="F338" s="52" t="s">
        <v>628</v>
      </c>
      <c r="G338" s="52" t="s">
        <v>213</v>
      </c>
      <c r="H338" s="52">
        <v>1</v>
      </c>
    </row>
    <row r="339" spans="1:8" ht="14.4" x14ac:dyDescent="0.3">
      <c r="A339" s="50">
        <v>1512</v>
      </c>
      <c r="B339" s="51">
        <v>20000340010</v>
      </c>
      <c r="C339" s="52" t="s">
        <v>911</v>
      </c>
      <c r="D339" s="52" t="s">
        <v>912</v>
      </c>
      <c r="E339" s="52" t="s">
        <v>3402</v>
      </c>
      <c r="F339" s="52" t="s">
        <v>618</v>
      </c>
      <c r="G339" s="52" t="s">
        <v>244</v>
      </c>
      <c r="H339" s="52">
        <v>1</v>
      </c>
    </row>
    <row r="340" spans="1:8" ht="14.4" x14ac:dyDescent="0.3">
      <c r="A340" s="50">
        <v>1513</v>
      </c>
      <c r="B340" s="51">
        <v>20000520019</v>
      </c>
      <c r="C340" s="52" t="s">
        <v>999</v>
      </c>
      <c r="D340" s="52" t="s">
        <v>1000</v>
      </c>
      <c r="E340" s="52" t="s">
        <v>1001</v>
      </c>
      <c r="F340" s="52" t="s">
        <v>618</v>
      </c>
      <c r="G340" s="52" t="s">
        <v>244</v>
      </c>
      <c r="H340" s="52">
        <v>1</v>
      </c>
    </row>
    <row r="341" spans="1:8" ht="14.4" x14ac:dyDescent="0.3">
      <c r="A341" s="50">
        <v>1515</v>
      </c>
      <c r="B341" s="51">
        <v>20000920001</v>
      </c>
      <c r="C341" s="52" t="s">
        <v>1301</v>
      </c>
      <c r="D341" s="52" t="s">
        <v>679</v>
      </c>
      <c r="E341" s="52" t="s">
        <v>1302</v>
      </c>
      <c r="F341" s="52" t="s">
        <v>618</v>
      </c>
      <c r="G341" s="52" t="s">
        <v>244</v>
      </c>
      <c r="H341" s="52">
        <v>1</v>
      </c>
    </row>
    <row r="342" spans="1:8" ht="14.4" x14ac:dyDescent="0.3">
      <c r="A342" s="50">
        <v>1516</v>
      </c>
      <c r="B342" s="51">
        <v>20000800025</v>
      </c>
      <c r="C342" s="52" t="s">
        <v>1236</v>
      </c>
      <c r="D342" s="52" t="s">
        <v>1237</v>
      </c>
      <c r="E342" s="52" t="s">
        <v>1261</v>
      </c>
      <c r="F342" s="52" t="s">
        <v>618</v>
      </c>
      <c r="G342" s="52" t="s">
        <v>213</v>
      </c>
      <c r="H342" s="52">
        <v>1</v>
      </c>
    </row>
    <row r="343" spans="1:8" ht="14.4" x14ac:dyDescent="0.3">
      <c r="A343" s="50">
        <v>1518</v>
      </c>
      <c r="B343" s="51">
        <v>20000670023</v>
      </c>
      <c r="C343" s="52" t="s">
        <v>1213</v>
      </c>
      <c r="D343" s="52" t="s">
        <v>1214</v>
      </c>
      <c r="E343" s="52" t="s">
        <v>2466</v>
      </c>
      <c r="F343" s="52" t="s">
        <v>618</v>
      </c>
      <c r="G343" s="52" t="s">
        <v>213</v>
      </c>
      <c r="H343" s="52">
        <v>1</v>
      </c>
    </row>
    <row r="344" spans="1:8" ht="14.4" x14ac:dyDescent="0.3">
      <c r="A344" s="50">
        <v>1519</v>
      </c>
      <c r="B344" s="51">
        <v>20000630026</v>
      </c>
      <c r="C344" s="52" t="s">
        <v>1133</v>
      </c>
      <c r="D344" s="52" t="s">
        <v>1134</v>
      </c>
      <c r="E344" s="52" t="s">
        <v>3388</v>
      </c>
      <c r="F344" s="52" t="s">
        <v>618</v>
      </c>
      <c r="G344" s="52" t="s">
        <v>244</v>
      </c>
      <c r="H344" s="52">
        <v>1</v>
      </c>
    </row>
    <row r="345" spans="1:8" ht="14.4" x14ac:dyDescent="0.3">
      <c r="A345" s="50">
        <v>1520</v>
      </c>
      <c r="B345" s="51">
        <v>20001102064</v>
      </c>
      <c r="C345" s="52" t="s">
        <v>1704</v>
      </c>
      <c r="D345" s="52" t="s">
        <v>721</v>
      </c>
      <c r="E345" s="52" t="s">
        <v>1642</v>
      </c>
      <c r="F345" s="52" t="s">
        <v>1441</v>
      </c>
      <c r="G345" s="52" t="s">
        <v>213</v>
      </c>
      <c r="H345" s="52">
        <v>1</v>
      </c>
    </row>
    <row r="346" spans="1:8" ht="14.4" x14ac:dyDescent="0.3">
      <c r="A346" s="50">
        <v>1521</v>
      </c>
      <c r="B346" s="51">
        <v>20001102068</v>
      </c>
      <c r="C346" s="52" t="s">
        <v>1715</v>
      </c>
      <c r="D346" s="52" t="s">
        <v>951</v>
      </c>
      <c r="E346" s="52" t="s">
        <v>1716</v>
      </c>
      <c r="F346" s="52" t="s">
        <v>628</v>
      </c>
      <c r="G346" s="52" t="s">
        <v>213</v>
      </c>
      <c r="H346" s="52">
        <v>1</v>
      </c>
    </row>
    <row r="347" spans="1:8" ht="14.4" x14ac:dyDescent="0.3">
      <c r="A347" s="50">
        <v>1522</v>
      </c>
      <c r="B347" s="51">
        <v>20000650027</v>
      </c>
      <c r="C347" s="52" t="s">
        <v>1173</v>
      </c>
      <c r="D347" s="52" t="s">
        <v>1174</v>
      </c>
      <c r="E347" s="52" t="s">
        <v>1175</v>
      </c>
      <c r="F347" s="52" t="s">
        <v>618</v>
      </c>
      <c r="G347" s="52" t="s">
        <v>213</v>
      </c>
      <c r="H347" s="52">
        <v>1</v>
      </c>
    </row>
    <row r="348" spans="1:8" ht="14.4" x14ac:dyDescent="0.3">
      <c r="A348" s="50">
        <v>1524</v>
      </c>
      <c r="B348" s="51">
        <v>20001103078</v>
      </c>
      <c r="C348" s="52" t="s">
        <v>2927</v>
      </c>
      <c r="D348" s="52" t="s">
        <v>859</v>
      </c>
      <c r="E348" s="52" t="s">
        <v>3184</v>
      </c>
      <c r="F348" s="52" t="s">
        <v>1313</v>
      </c>
      <c r="G348" s="52" t="s">
        <v>213</v>
      </c>
      <c r="H348" s="52">
        <v>1</v>
      </c>
    </row>
    <row r="349" spans="1:8" ht="14.4" x14ac:dyDescent="0.3">
      <c r="A349" s="50">
        <v>1525</v>
      </c>
      <c r="B349" s="51">
        <v>20020052070</v>
      </c>
      <c r="C349" s="52" t="s">
        <v>2221</v>
      </c>
      <c r="D349" s="52" t="s">
        <v>865</v>
      </c>
      <c r="E349" s="52" t="s">
        <v>2209</v>
      </c>
      <c r="F349" s="52" t="s">
        <v>1532</v>
      </c>
      <c r="G349" s="52" t="s">
        <v>244</v>
      </c>
      <c r="H349" s="52">
        <v>1</v>
      </c>
    </row>
    <row r="350" spans="1:8" ht="14.4" x14ac:dyDescent="0.3">
      <c r="A350" s="50">
        <v>1526</v>
      </c>
      <c r="B350" s="51">
        <v>20000630026</v>
      </c>
      <c r="C350" s="52" t="s">
        <v>1132</v>
      </c>
      <c r="D350" s="52" t="s">
        <v>688</v>
      </c>
      <c r="E350" s="52" t="s">
        <v>1109</v>
      </c>
      <c r="F350" s="52" t="s">
        <v>618</v>
      </c>
      <c r="G350" s="52" t="s">
        <v>244</v>
      </c>
      <c r="H350" s="52">
        <v>1</v>
      </c>
    </row>
    <row r="351" spans="1:8" ht="14.4" x14ac:dyDescent="0.3">
      <c r="A351" s="50">
        <v>1529</v>
      </c>
      <c r="B351" s="51">
        <v>20000670023</v>
      </c>
      <c r="C351" s="52" t="s">
        <v>1208</v>
      </c>
      <c r="D351" s="52" t="s">
        <v>1154</v>
      </c>
      <c r="E351" s="52" t="s">
        <v>1209</v>
      </c>
      <c r="F351" s="52" t="s">
        <v>618</v>
      </c>
      <c r="G351" s="52" t="s">
        <v>213</v>
      </c>
      <c r="H351" s="52">
        <v>1</v>
      </c>
    </row>
    <row r="352" spans="1:8" ht="14.4" x14ac:dyDescent="0.3">
      <c r="A352" s="50">
        <v>1535</v>
      </c>
      <c r="B352" s="51">
        <v>20001102068</v>
      </c>
      <c r="C352" s="52" t="s">
        <v>1736</v>
      </c>
      <c r="D352" s="52" t="s">
        <v>870</v>
      </c>
      <c r="E352" s="52" t="s">
        <v>1737</v>
      </c>
      <c r="F352" s="52" t="s">
        <v>628</v>
      </c>
      <c r="G352" s="52" t="s">
        <v>244</v>
      </c>
      <c r="H352" s="52">
        <v>1</v>
      </c>
    </row>
    <row r="353" spans="1:8" ht="14.4" x14ac:dyDescent="0.3">
      <c r="A353" s="50">
        <v>1537</v>
      </c>
      <c r="B353" s="51">
        <v>20009001110</v>
      </c>
      <c r="C353" s="52" t="s">
        <v>901</v>
      </c>
      <c r="D353" s="52" t="s">
        <v>741</v>
      </c>
      <c r="E353" s="52" t="s">
        <v>1988</v>
      </c>
      <c r="F353" s="52" t="s">
        <v>1313</v>
      </c>
      <c r="G353" s="52" t="s">
        <v>213</v>
      </c>
      <c r="H353" s="52">
        <v>1</v>
      </c>
    </row>
    <row r="354" spans="1:8" ht="14.4" x14ac:dyDescent="0.3">
      <c r="A354" s="50">
        <v>1538</v>
      </c>
      <c r="B354" s="51">
        <v>20000920001</v>
      </c>
      <c r="C354" s="52" t="s">
        <v>1303</v>
      </c>
      <c r="D354" s="52" t="s">
        <v>1170</v>
      </c>
      <c r="E354" s="52" t="s">
        <v>1304</v>
      </c>
      <c r="F354" s="52" t="s">
        <v>618</v>
      </c>
      <c r="G354" s="52" t="s">
        <v>244</v>
      </c>
      <c r="H354" s="52">
        <v>1</v>
      </c>
    </row>
    <row r="355" spans="1:8" ht="14.4" x14ac:dyDescent="0.3">
      <c r="A355" s="50">
        <v>1539</v>
      </c>
      <c r="B355" s="51">
        <v>20009001112</v>
      </c>
      <c r="C355" s="52" t="s">
        <v>2136</v>
      </c>
      <c r="D355" s="52" t="s">
        <v>1563</v>
      </c>
      <c r="E355" s="52" t="s">
        <v>1970</v>
      </c>
      <c r="F355" s="52" t="s">
        <v>620</v>
      </c>
      <c r="G355" s="52" t="s">
        <v>244</v>
      </c>
      <c r="H355" s="52">
        <v>1</v>
      </c>
    </row>
    <row r="356" spans="1:8" ht="14.4" x14ac:dyDescent="0.3">
      <c r="A356" s="50">
        <v>1540</v>
      </c>
      <c r="B356" s="51">
        <v>20000920001</v>
      </c>
      <c r="C356" s="52" t="s">
        <v>1305</v>
      </c>
      <c r="D356" s="52" t="s">
        <v>1306</v>
      </c>
      <c r="E356" s="52" t="s">
        <v>1307</v>
      </c>
      <c r="F356" s="52" t="s">
        <v>618</v>
      </c>
      <c r="G356" s="52" t="s">
        <v>213</v>
      </c>
      <c r="H356" s="52">
        <v>1</v>
      </c>
    </row>
    <row r="357" spans="1:8" ht="14.4" x14ac:dyDescent="0.3">
      <c r="A357" s="50">
        <v>1542</v>
      </c>
      <c r="B357" s="51">
        <v>20000650027</v>
      </c>
      <c r="C357" s="52" t="s">
        <v>1188</v>
      </c>
      <c r="D357" s="52" t="s">
        <v>1126</v>
      </c>
      <c r="E357" s="52" t="s">
        <v>1189</v>
      </c>
      <c r="F357" s="52" t="s">
        <v>618</v>
      </c>
      <c r="G357" s="52" t="s">
        <v>213</v>
      </c>
      <c r="H357" s="52">
        <v>1</v>
      </c>
    </row>
    <row r="358" spans="1:8" ht="14.4" x14ac:dyDescent="0.3">
      <c r="A358" s="50">
        <v>1543</v>
      </c>
      <c r="B358" s="51">
        <v>20000630026</v>
      </c>
      <c r="C358" s="52" t="s">
        <v>1129</v>
      </c>
      <c r="D358" s="52" t="s">
        <v>1130</v>
      </c>
      <c r="E358" s="52" t="s">
        <v>1131</v>
      </c>
      <c r="F358" s="52" t="s">
        <v>618</v>
      </c>
      <c r="G358" s="52" t="s">
        <v>244</v>
      </c>
      <c r="H358" s="52">
        <v>1</v>
      </c>
    </row>
    <row r="359" spans="1:8" ht="14.4" x14ac:dyDescent="0.3">
      <c r="A359" s="50">
        <v>1544</v>
      </c>
      <c r="B359" s="51">
        <v>20001104092</v>
      </c>
      <c r="C359" s="52" t="s">
        <v>1820</v>
      </c>
      <c r="D359" s="52" t="s">
        <v>1621</v>
      </c>
      <c r="E359" s="52" t="s">
        <v>1631</v>
      </c>
      <c r="F359" s="52" t="s">
        <v>1086</v>
      </c>
      <c r="G359" s="52" t="s">
        <v>213</v>
      </c>
      <c r="H359" s="52">
        <v>1</v>
      </c>
    </row>
    <row r="360" spans="1:8" ht="14.4" x14ac:dyDescent="0.3">
      <c r="A360" s="50">
        <v>1545</v>
      </c>
      <c r="B360" s="51">
        <v>20001050115</v>
      </c>
      <c r="C360" s="52" t="s">
        <v>3636</v>
      </c>
      <c r="D360" s="52" t="s">
        <v>1202</v>
      </c>
      <c r="E360" s="52" t="s">
        <v>3566</v>
      </c>
      <c r="F360" s="52" t="s">
        <v>618</v>
      </c>
      <c r="G360" s="52" t="s">
        <v>213</v>
      </c>
      <c r="H360" s="52">
        <v>1</v>
      </c>
    </row>
    <row r="361" spans="1:8" ht="14.4" x14ac:dyDescent="0.3">
      <c r="A361" s="50">
        <v>1546</v>
      </c>
      <c r="B361" s="51">
        <v>20000110105</v>
      </c>
      <c r="C361" s="52" t="s">
        <v>641</v>
      </c>
      <c r="D361" s="52" t="s">
        <v>642</v>
      </c>
      <c r="E361" s="52" t="s">
        <v>3407</v>
      </c>
      <c r="F361" s="52" t="s">
        <v>628</v>
      </c>
      <c r="G361" s="52" t="s">
        <v>244</v>
      </c>
      <c r="H361" s="52">
        <v>0.8</v>
      </c>
    </row>
    <row r="362" spans="1:8" ht="14.4" x14ac:dyDescent="0.3">
      <c r="A362" s="50">
        <v>1548</v>
      </c>
      <c r="B362" s="51">
        <v>20001101053</v>
      </c>
      <c r="C362" s="52" t="s">
        <v>980</v>
      </c>
      <c r="D362" s="52" t="s">
        <v>1108</v>
      </c>
      <c r="E362" s="52" t="s">
        <v>3408</v>
      </c>
      <c r="F362" s="52" t="s">
        <v>1410</v>
      </c>
      <c r="G362" s="52" t="s">
        <v>244</v>
      </c>
      <c r="H362" s="52">
        <v>1</v>
      </c>
    </row>
    <row r="363" spans="1:8" ht="14.4" x14ac:dyDescent="0.3">
      <c r="A363" s="50">
        <v>1549</v>
      </c>
      <c r="B363" s="51">
        <v>20000800025</v>
      </c>
      <c r="C363" s="52" t="s">
        <v>1256</v>
      </c>
      <c r="D363" s="52" t="s">
        <v>1257</v>
      </c>
      <c r="E363" s="52" t="s">
        <v>1258</v>
      </c>
      <c r="F363" s="52" t="s">
        <v>618</v>
      </c>
      <c r="G363" s="52" t="s">
        <v>213</v>
      </c>
      <c r="H363" s="52">
        <v>1</v>
      </c>
    </row>
    <row r="364" spans="1:8" ht="14.4" x14ac:dyDescent="0.3">
      <c r="A364" s="50">
        <v>1552</v>
      </c>
      <c r="B364" s="51">
        <v>20000630026</v>
      </c>
      <c r="C364" s="52" t="s">
        <v>1141</v>
      </c>
      <c r="D364" s="52" t="s">
        <v>1142</v>
      </c>
      <c r="E364" s="52" t="s">
        <v>3388</v>
      </c>
      <c r="F364" s="52" t="s">
        <v>618</v>
      </c>
      <c r="G364" s="52" t="s">
        <v>244</v>
      </c>
      <c r="H364" s="52">
        <v>1</v>
      </c>
    </row>
    <row r="365" spans="1:8" ht="14.4" x14ac:dyDescent="0.3">
      <c r="A365" s="50">
        <v>1556</v>
      </c>
      <c r="B365" s="51">
        <v>20001052065</v>
      </c>
      <c r="C365" s="52" t="s">
        <v>1509</v>
      </c>
      <c r="D365" s="52" t="s">
        <v>1510</v>
      </c>
      <c r="E365" s="52" t="s">
        <v>3409</v>
      </c>
      <c r="F365" s="52" t="s">
        <v>628</v>
      </c>
      <c r="G365" s="52" t="s">
        <v>244</v>
      </c>
      <c r="H365" s="52">
        <v>1</v>
      </c>
    </row>
    <row r="366" spans="1:8" ht="14.4" x14ac:dyDescent="0.3">
      <c r="A366" s="50">
        <v>1559</v>
      </c>
      <c r="B366" s="51">
        <v>20000040110</v>
      </c>
      <c r="C366" s="52" t="s">
        <v>615</v>
      </c>
      <c r="D366" s="52" t="s">
        <v>616</v>
      </c>
      <c r="E366" s="52" t="s">
        <v>617</v>
      </c>
      <c r="F366" s="52" t="s">
        <v>618</v>
      </c>
      <c r="G366" s="52" t="s">
        <v>244</v>
      </c>
      <c r="H366" s="52">
        <v>1</v>
      </c>
    </row>
    <row r="367" spans="1:8" ht="14.4" x14ac:dyDescent="0.3">
      <c r="A367" s="50">
        <v>1560</v>
      </c>
      <c r="B367" s="51">
        <v>20009001108</v>
      </c>
      <c r="C367" s="52" t="s">
        <v>2086</v>
      </c>
      <c r="D367" s="52" t="s">
        <v>914</v>
      </c>
      <c r="E367" s="52" t="s">
        <v>1970</v>
      </c>
      <c r="F367" s="52" t="s">
        <v>628</v>
      </c>
      <c r="G367" s="52" t="s">
        <v>213</v>
      </c>
      <c r="H367" s="52">
        <v>1</v>
      </c>
    </row>
    <row r="368" spans="1:8" ht="14.4" x14ac:dyDescent="0.3">
      <c r="A368" s="50">
        <v>1561</v>
      </c>
      <c r="B368" s="51">
        <v>20000650029</v>
      </c>
      <c r="C368" s="52" t="s">
        <v>2441</v>
      </c>
      <c r="D368" s="52" t="s">
        <v>2442</v>
      </c>
      <c r="E368" s="52" t="s">
        <v>1192</v>
      </c>
      <c r="F368" s="52" t="s">
        <v>618</v>
      </c>
      <c r="G368" s="52" t="s">
        <v>244</v>
      </c>
      <c r="H368" s="52">
        <v>1</v>
      </c>
    </row>
    <row r="369" spans="1:8" ht="14.4" x14ac:dyDescent="0.3">
      <c r="A369" s="50">
        <v>1565</v>
      </c>
      <c r="B369" s="51">
        <v>20001101037</v>
      </c>
      <c r="C369" s="52" t="s">
        <v>1637</v>
      </c>
      <c r="D369" s="52" t="s">
        <v>1638</v>
      </c>
      <c r="E369" s="52" t="s">
        <v>1639</v>
      </c>
      <c r="F369" s="52" t="s">
        <v>1327</v>
      </c>
      <c r="G369" s="52" t="s">
        <v>213</v>
      </c>
      <c r="H369" s="52">
        <v>1</v>
      </c>
    </row>
    <row r="370" spans="1:8" ht="14.4" x14ac:dyDescent="0.3">
      <c r="A370" s="50">
        <v>1569</v>
      </c>
      <c r="B370" s="51">
        <v>20000310010</v>
      </c>
      <c r="C370" s="52" t="s">
        <v>724</v>
      </c>
      <c r="D370" s="52" t="s">
        <v>725</v>
      </c>
      <c r="E370" s="52" t="s">
        <v>663</v>
      </c>
      <c r="F370" s="52" t="s">
        <v>664</v>
      </c>
      <c r="G370" s="52" t="s">
        <v>244</v>
      </c>
      <c r="H370" s="52">
        <v>1</v>
      </c>
    </row>
    <row r="371" spans="1:8" ht="14.4" x14ac:dyDescent="0.3">
      <c r="A371" s="50">
        <v>1572</v>
      </c>
      <c r="B371" s="51">
        <v>20000570123</v>
      </c>
      <c r="C371" s="52" t="s">
        <v>1089</v>
      </c>
      <c r="D371" s="52" t="s">
        <v>1090</v>
      </c>
      <c r="E371" s="52" t="s">
        <v>1031</v>
      </c>
      <c r="F371" s="52" t="s">
        <v>1086</v>
      </c>
      <c r="G371" s="52" t="s">
        <v>244</v>
      </c>
      <c r="H371" s="52">
        <v>1</v>
      </c>
    </row>
    <row r="372" spans="1:8" ht="14.4" x14ac:dyDescent="0.3">
      <c r="A372" s="50">
        <v>1573</v>
      </c>
      <c r="B372" s="51">
        <v>20001052065</v>
      </c>
      <c r="C372" s="52" t="s">
        <v>1481</v>
      </c>
      <c r="D372" s="52" t="s">
        <v>1265</v>
      </c>
      <c r="E372" s="52" t="s">
        <v>1326</v>
      </c>
      <c r="F372" s="52" t="s">
        <v>628</v>
      </c>
      <c r="G372" s="52" t="s">
        <v>244</v>
      </c>
      <c r="H372" s="52">
        <v>1</v>
      </c>
    </row>
    <row r="373" spans="1:8" ht="14.4" x14ac:dyDescent="0.3">
      <c r="A373" s="50">
        <v>1574</v>
      </c>
      <c r="B373" s="51">
        <v>20001052065</v>
      </c>
      <c r="C373" s="52" t="s">
        <v>1164</v>
      </c>
      <c r="D373" s="52" t="s">
        <v>948</v>
      </c>
      <c r="E373" s="52" t="s">
        <v>1326</v>
      </c>
      <c r="F373" s="52" t="s">
        <v>628</v>
      </c>
      <c r="G373" s="52" t="s">
        <v>213</v>
      </c>
      <c r="H373" s="52">
        <v>1</v>
      </c>
    </row>
    <row r="374" spans="1:8" ht="14.4" x14ac:dyDescent="0.3">
      <c r="A374" s="50">
        <v>1576</v>
      </c>
      <c r="B374" s="51">
        <v>20000310010</v>
      </c>
      <c r="C374" s="52" t="s">
        <v>701</v>
      </c>
      <c r="D374" s="52" t="s">
        <v>702</v>
      </c>
      <c r="E374" s="52" t="s">
        <v>2922</v>
      </c>
      <c r="F374" s="52" t="s">
        <v>664</v>
      </c>
      <c r="G374" s="52" t="s">
        <v>145</v>
      </c>
      <c r="H374" s="52">
        <v>1</v>
      </c>
    </row>
    <row r="375" spans="1:8" ht="14.4" x14ac:dyDescent="0.3">
      <c r="A375" s="50">
        <v>1577</v>
      </c>
      <c r="B375" s="51">
        <v>20000360010</v>
      </c>
      <c r="C375" s="52" t="s">
        <v>944</v>
      </c>
      <c r="D375" s="52" t="s">
        <v>945</v>
      </c>
      <c r="E375" s="52" t="s">
        <v>3402</v>
      </c>
      <c r="F375" s="52" t="s">
        <v>618</v>
      </c>
      <c r="G375" s="52" t="s">
        <v>244</v>
      </c>
      <c r="H375" s="52">
        <v>1</v>
      </c>
    </row>
    <row r="376" spans="1:8" ht="14.4" x14ac:dyDescent="0.3">
      <c r="A376" s="50">
        <v>1581</v>
      </c>
      <c r="B376" s="51">
        <v>20001104088</v>
      </c>
      <c r="C376" s="52" t="s">
        <v>1817</v>
      </c>
      <c r="D376" s="52" t="s">
        <v>1818</v>
      </c>
      <c r="E376" s="52" t="s">
        <v>1724</v>
      </c>
      <c r="F376" s="52" t="s">
        <v>620</v>
      </c>
      <c r="G376" s="52" t="s">
        <v>244</v>
      </c>
      <c r="H376" s="52">
        <v>1</v>
      </c>
    </row>
    <row r="377" spans="1:8" ht="14.4" x14ac:dyDescent="0.3">
      <c r="A377" s="50">
        <v>1583</v>
      </c>
      <c r="B377" s="51">
        <v>20009001108</v>
      </c>
      <c r="C377" s="52" t="s">
        <v>2087</v>
      </c>
      <c r="D377" s="52" t="s">
        <v>2088</v>
      </c>
      <c r="E377" s="52" t="s">
        <v>1970</v>
      </c>
      <c r="F377" s="52" t="s">
        <v>628</v>
      </c>
      <c r="G377" s="52" t="s">
        <v>213</v>
      </c>
      <c r="H377" s="52">
        <v>1</v>
      </c>
    </row>
    <row r="378" spans="1:8" ht="14.4" x14ac:dyDescent="0.3">
      <c r="A378" s="50">
        <v>1584</v>
      </c>
      <c r="B378" s="51">
        <v>20000340010</v>
      </c>
      <c r="C378" s="52" t="s">
        <v>875</v>
      </c>
      <c r="D378" s="52" t="s">
        <v>852</v>
      </c>
      <c r="E378" s="52" t="s">
        <v>3242</v>
      </c>
      <c r="F378" s="52" t="s">
        <v>664</v>
      </c>
      <c r="G378" s="52" t="s">
        <v>244</v>
      </c>
      <c r="H378" s="52">
        <v>1</v>
      </c>
    </row>
    <row r="379" spans="1:8" ht="14.4" x14ac:dyDescent="0.3">
      <c r="A379" s="50">
        <v>1585</v>
      </c>
      <c r="B379" s="51">
        <v>20001140128</v>
      </c>
      <c r="C379" s="52" t="s">
        <v>1185</v>
      </c>
      <c r="D379" s="52" t="s">
        <v>1580</v>
      </c>
      <c r="E379" s="52" t="s">
        <v>1869</v>
      </c>
      <c r="F379" s="52" t="s">
        <v>618</v>
      </c>
      <c r="G379" s="52" t="s">
        <v>213</v>
      </c>
      <c r="H379" s="52">
        <v>1</v>
      </c>
    </row>
    <row r="380" spans="1:8" ht="14.4" x14ac:dyDescent="0.3">
      <c r="A380" s="50">
        <v>1586</v>
      </c>
      <c r="B380" s="51">
        <v>20061110032</v>
      </c>
      <c r="C380" s="52" t="s">
        <v>2349</v>
      </c>
      <c r="D380" s="52" t="s">
        <v>700</v>
      </c>
      <c r="E380" s="52" t="s">
        <v>2350</v>
      </c>
      <c r="F380" s="52" t="s">
        <v>628</v>
      </c>
      <c r="G380" s="52" t="s">
        <v>213</v>
      </c>
      <c r="H380" s="52">
        <v>1</v>
      </c>
    </row>
    <row r="381" spans="1:8" ht="14.4" x14ac:dyDescent="0.3">
      <c r="A381" s="36">
        <v>1587</v>
      </c>
      <c r="B381" s="36">
        <v>20001140004</v>
      </c>
      <c r="C381" s="36" t="s">
        <v>1844</v>
      </c>
      <c r="D381" s="36" t="s">
        <v>1121</v>
      </c>
      <c r="E381" s="36" t="s">
        <v>1845</v>
      </c>
      <c r="F381" s="36" t="s">
        <v>618</v>
      </c>
      <c r="G381" s="36" t="s">
        <v>244</v>
      </c>
      <c r="H381" s="36">
        <v>1</v>
      </c>
    </row>
    <row r="382" spans="1:8" ht="14.4" x14ac:dyDescent="0.3">
      <c r="A382" s="50">
        <v>1588</v>
      </c>
      <c r="B382" s="51">
        <v>20001102068</v>
      </c>
      <c r="C382" s="52" t="s">
        <v>1753</v>
      </c>
      <c r="D382" s="52" t="s">
        <v>1754</v>
      </c>
      <c r="E382" s="52" t="s">
        <v>3407</v>
      </c>
      <c r="F382" s="52" t="s">
        <v>628</v>
      </c>
      <c r="G382" s="52" t="s">
        <v>244</v>
      </c>
      <c r="H382" s="52">
        <v>1</v>
      </c>
    </row>
    <row r="383" spans="1:8" ht="14.4" x14ac:dyDescent="0.3">
      <c r="A383" s="50">
        <v>1589</v>
      </c>
      <c r="B383" s="51">
        <v>20001260017</v>
      </c>
      <c r="C383" s="52" t="s">
        <v>1918</v>
      </c>
      <c r="D383" s="52" t="s">
        <v>1919</v>
      </c>
      <c r="E383" s="52" t="s">
        <v>1888</v>
      </c>
      <c r="F383" s="52" t="s">
        <v>618</v>
      </c>
      <c r="G383" s="52" t="s">
        <v>244</v>
      </c>
      <c r="H383" s="52">
        <v>1</v>
      </c>
    </row>
    <row r="384" spans="1:8" ht="14.4" x14ac:dyDescent="0.3">
      <c r="A384" s="50">
        <v>1590</v>
      </c>
      <c r="B384" s="51">
        <v>20051001112</v>
      </c>
      <c r="C384" s="52" t="s">
        <v>2161</v>
      </c>
      <c r="D384" s="52" t="s">
        <v>2162</v>
      </c>
      <c r="E384" s="52" t="s">
        <v>1988</v>
      </c>
      <c r="F384" s="52" t="s">
        <v>620</v>
      </c>
      <c r="G384" s="52" t="s">
        <v>213</v>
      </c>
      <c r="H384" s="52">
        <v>1</v>
      </c>
    </row>
    <row r="385" spans="1:8" ht="14.4" x14ac:dyDescent="0.3">
      <c r="A385" s="36">
        <v>1592</v>
      </c>
      <c r="B385" s="36">
        <v>20000330010</v>
      </c>
      <c r="C385" s="36" t="s">
        <v>730</v>
      </c>
      <c r="D385" s="36" t="s">
        <v>885</v>
      </c>
      <c r="E385" s="36" t="s">
        <v>2856</v>
      </c>
      <c r="F385" s="36" t="s">
        <v>664</v>
      </c>
      <c r="G385" s="36" t="s">
        <v>213</v>
      </c>
      <c r="H385" s="36">
        <v>1</v>
      </c>
    </row>
    <row r="386" spans="1:8" ht="14.4" x14ac:dyDescent="0.3">
      <c r="A386" s="50">
        <v>1593</v>
      </c>
      <c r="B386" s="51">
        <v>20000110105</v>
      </c>
      <c r="C386" s="52" t="s">
        <v>626</v>
      </c>
      <c r="D386" s="52" t="s">
        <v>627</v>
      </c>
      <c r="E386" s="52" t="s">
        <v>3407</v>
      </c>
      <c r="F386" s="52" t="s">
        <v>628</v>
      </c>
      <c r="G386" s="52" t="s">
        <v>244</v>
      </c>
      <c r="H386" s="52">
        <v>1</v>
      </c>
    </row>
    <row r="387" spans="1:8" ht="14.4" x14ac:dyDescent="0.3">
      <c r="A387" s="50">
        <v>1594</v>
      </c>
      <c r="B387" s="51">
        <v>20000510000</v>
      </c>
      <c r="C387" s="52" t="s">
        <v>983</v>
      </c>
      <c r="D387" s="52" t="s">
        <v>945</v>
      </c>
      <c r="E387" s="52" t="s">
        <v>984</v>
      </c>
      <c r="F387" s="52" t="s">
        <v>618</v>
      </c>
      <c r="G387" s="52" t="s">
        <v>244</v>
      </c>
      <c r="H387" s="52">
        <v>1</v>
      </c>
    </row>
    <row r="388" spans="1:8" ht="14.4" x14ac:dyDescent="0.3">
      <c r="A388" s="50">
        <v>1595</v>
      </c>
      <c r="B388" s="51">
        <v>20009001108</v>
      </c>
      <c r="C388" s="52" t="s">
        <v>2062</v>
      </c>
      <c r="D388" s="52" t="s">
        <v>785</v>
      </c>
      <c r="E388" s="52" t="s">
        <v>3380</v>
      </c>
      <c r="F388" s="52" t="s">
        <v>628</v>
      </c>
      <c r="G388" s="52" t="s">
        <v>244</v>
      </c>
      <c r="H388" s="52">
        <v>1</v>
      </c>
    </row>
    <row r="389" spans="1:8" ht="14.4" x14ac:dyDescent="0.3">
      <c r="A389" s="50">
        <v>1597</v>
      </c>
      <c r="B389" s="51">
        <v>20000950132</v>
      </c>
      <c r="C389" s="52" t="s">
        <v>1309</v>
      </c>
      <c r="D389" s="52" t="s">
        <v>785</v>
      </c>
      <c r="E389" s="52" t="s">
        <v>2768</v>
      </c>
      <c r="F389" s="52" t="s">
        <v>2765</v>
      </c>
      <c r="G389" s="52" t="s">
        <v>213</v>
      </c>
      <c r="H389" s="52">
        <v>1</v>
      </c>
    </row>
    <row r="390" spans="1:8" ht="14.4" x14ac:dyDescent="0.3">
      <c r="A390" s="50">
        <v>1598</v>
      </c>
      <c r="B390" s="51">
        <v>20000330010</v>
      </c>
      <c r="C390" s="52" t="s">
        <v>883</v>
      </c>
      <c r="D390" s="52" t="s">
        <v>884</v>
      </c>
      <c r="E390" s="52" t="s">
        <v>2856</v>
      </c>
      <c r="F390" s="52" t="s">
        <v>664</v>
      </c>
      <c r="G390" s="52" t="s">
        <v>213</v>
      </c>
      <c r="H390" s="52">
        <v>1</v>
      </c>
    </row>
    <row r="391" spans="1:8" ht="14.4" x14ac:dyDescent="0.3">
      <c r="A391" s="50">
        <v>1599</v>
      </c>
      <c r="B391" s="51">
        <v>20000650027</v>
      </c>
      <c r="C391" s="52" t="s">
        <v>1166</v>
      </c>
      <c r="D391" s="52" t="s">
        <v>1167</v>
      </c>
      <c r="E391" s="52" t="s">
        <v>3305</v>
      </c>
      <c r="F391" s="52" t="s">
        <v>618</v>
      </c>
      <c r="G391" s="52" t="s">
        <v>244</v>
      </c>
      <c r="H391" s="52">
        <v>1</v>
      </c>
    </row>
    <row r="392" spans="1:8" ht="14.4" x14ac:dyDescent="0.3">
      <c r="A392" s="50">
        <v>1600</v>
      </c>
      <c r="B392" s="51">
        <v>20000330010</v>
      </c>
      <c r="C392" s="52" t="s">
        <v>687</v>
      </c>
      <c r="D392" s="52" t="s">
        <v>688</v>
      </c>
      <c r="E392" s="52" t="s">
        <v>2930</v>
      </c>
      <c r="F392" s="52" t="s">
        <v>664</v>
      </c>
      <c r="G392" s="52" t="s">
        <v>213</v>
      </c>
      <c r="H392" s="52">
        <v>1</v>
      </c>
    </row>
    <row r="393" spans="1:8" ht="14.4" x14ac:dyDescent="0.3">
      <c r="A393" s="50">
        <v>1601</v>
      </c>
      <c r="B393" s="51">
        <v>20000630026</v>
      </c>
      <c r="C393" s="52" t="s">
        <v>1112</v>
      </c>
      <c r="D393" s="52" t="s">
        <v>1108</v>
      </c>
      <c r="E393" s="52" t="s">
        <v>1113</v>
      </c>
      <c r="F393" s="52" t="s">
        <v>618</v>
      </c>
      <c r="G393" s="52" t="s">
        <v>244</v>
      </c>
      <c r="H393" s="52">
        <v>1</v>
      </c>
    </row>
    <row r="394" spans="1:8" ht="14.4" x14ac:dyDescent="0.3">
      <c r="A394" s="50">
        <v>1602</v>
      </c>
      <c r="B394" s="51">
        <v>20001052069</v>
      </c>
      <c r="C394" s="52" t="s">
        <v>1535</v>
      </c>
      <c r="D394" s="52" t="s">
        <v>676</v>
      </c>
      <c r="E394" s="52" t="s">
        <v>1326</v>
      </c>
      <c r="F394" s="52" t="s">
        <v>1532</v>
      </c>
      <c r="G394" s="52" t="s">
        <v>213</v>
      </c>
      <c r="H394" s="52">
        <v>1</v>
      </c>
    </row>
    <row r="395" spans="1:8" ht="14.4" x14ac:dyDescent="0.3">
      <c r="A395" s="50">
        <v>1603</v>
      </c>
      <c r="B395" s="51">
        <v>20001350113</v>
      </c>
      <c r="C395" s="52" t="s">
        <v>886</v>
      </c>
      <c r="D395" s="52" t="s">
        <v>887</v>
      </c>
      <c r="E395" s="52" t="s">
        <v>1960</v>
      </c>
      <c r="F395" s="52" t="s">
        <v>618</v>
      </c>
      <c r="G395" s="52" t="s">
        <v>244</v>
      </c>
      <c r="H395" s="52">
        <v>1</v>
      </c>
    </row>
    <row r="396" spans="1:8" ht="14.4" x14ac:dyDescent="0.3">
      <c r="A396" s="50">
        <v>1604</v>
      </c>
      <c r="B396" s="51">
        <v>20001260017</v>
      </c>
      <c r="C396" s="52" t="s">
        <v>1148</v>
      </c>
      <c r="D396" s="52" t="s">
        <v>1149</v>
      </c>
      <c r="E396" s="52" t="s">
        <v>1895</v>
      </c>
      <c r="F396" s="52" t="s">
        <v>618</v>
      </c>
      <c r="G396" s="52" t="s">
        <v>213</v>
      </c>
      <c r="H396" s="52">
        <v>1</v>
      </c>
    </row>
    <row r="397" spans="1:8" ht="14.4" x14ac:dyDescent="0.3">
      <c r="A397" s="50">
        <v>1605</v>
      </c>
      <c r="B397" s="51">
        <v>20009001110</v>
      </c>
      <c r="C397" s="52" t="s">
        <v>2120</v>
      </c>
      <c r="D397" s="52" t="s">
        <v>2121</v>
      </c>
      <c r="E397" s="52" t="s">
        <v>1970</v>
      </c>
      <c r="F397" s="52" t="s">
        <v>1313</v>
      </c>
      <c r="G397" s="52" t="s">
        <v>213</v>
      </c>
      <c r="H397" s="52">
        <v>1</v>
      </c>
    </row>
    <row r="398" spans="1:8" ht="14.4" x14ac:dyDescent="0.3">
      <c r="A398" s="50">
        <v>1607</v>
      </c>
      <c r="B398" s="51">
        <v>20020040014</v>
      </c>
      <c r="C398" s="52" t="s">
        <v>2169</v>
      </c>
      <c r="D398" s="52" t="s">
        <v>2199</v>
      </c>
      <c r="E398" s="52" t="s">
        <v>2198</v>
      </c>
      <c r="F398" s="52" t="s">
        <v>618</v>
      </c>
      <c r="G398" s="52" t="s">
        <v>145</v>
      </c>
      <c r="H398" s="52">
        <v>0.5</v>
      </c>
    </row>
    <row r="399" spans="1:8" ht="14.4" x14ac:dyDescent="0.3">
      <c r="A399" s="50">
        <v>1608</v>
      </c>
      <c r="B399" s="51">
        <v>20000330010</v>
      </c>
      <c r="C399" s="52" t="s">
        <v>878</v>
      </c>
      <c r="D399" s="52" t="s">
        <v>879</v>
      </c>
      <c r="E399" s="52" t="s">
        <v>2926</v>
      </c>
      <c r="F399" s="52" t="s">
        <v>664</v>
      </c>
      <c r="G399" s="52" t="s">
        <v>213</v>
      </c>
      <c r="H399" s="52">
        <v>1</v>
      </c>
    </row>
    <row r="400" spans="1:8" ht="14.4" x14ac:dyDescent="0.3">
      <c r="A400" s="50">
        <v>1609</v>
      </c>
      <c r="B400" s="51">
        <v>20009001108</v>
      </c>
      <c r="C400" s="52" t="s">
        <v>2080</v>
      </c>
      <c r="D400" s="52" t="s">
        <v>2081</v>
      </c>
      <c r="E400" s="52" t="s">
        <v>1993</v>
      </c>
      <c r="F400" s="52" t="s">
        <v>628</v>
      </c>
      <c r="G400" s="52" t="s">
        <v>213</v>
      </c>
      <c r="H400" s="52">
        <v>1</v>
      </c>
    </row>
    <row r="401" spans="1:8" ht="14.4" x14ac:dyDescent="0.3">
      <c r="A401" s="50">
        <v>1610</v>
      </c>
      <c r="B401" s="51">
        <v>20009001112</v>
      </c>
      <c r="C401" s="52" t="s">
        <v>2152</v>
      </c>
      <c r="D401" s="52" t="s">
        <v>797</v>
      </c>
      <c r="E401" s="52" t="s">
        <v>1970</v>
      </c>
      <c r="F401" s="52" t="s">
        <v>620</v>
      </c>
      <c r="G401" s="52" t="s">
        <v>213</v>
      </c>
      <c r="H401" s="52">
        <v>1</v>
      </c>
    </row>
    <row r="402" spans="1:8" ht="14.4" x14ac:dyDescent="0.3">
      <c r="A402" s="50">
        <v>1612</v>
      </c>
      <c r="B402" s="51">
        <v>20001052065</v>
      </c>
      <c r="C402" s="52" t="s">
        <v>1528</v>
      </c>
      <c r="D402" s="52" t="s">
        <v>719</v>
      </c>
      <c r="E402" s="52" t="s">
        <v>3376</v>
      </c>
      <c r="F402" s="52" t="s">
        <v>628</v>
      </c>
      <c r="G402" s="52" t="s">
        <v>244</v>
      </c>
      <c r="H402" s="52">
        <v>1</v>
      </c>
    </row>
    <row r="403" spans="1:8" ht="14.4" x14ac:dyDescent="0.3">
      <c r="A403" s="50">
        <v>1616</v>
      </c>
      <c r="B403" s="51">
        <v>20009001107</v>
      </c>
      <c r="C403" s="52" t="s">
        <v>2043</v>
      </c>
      <c r="D403" s="52" t="s">
        <v>897</v>
      </c>
      <c r="E403" s="52" t="s">
        <v>1970</v>
      </c>
      <c r="F403" s="52" t="s">
        <v>1441</v>
      </c>
      <c r="G403" s="52" t="s">
        <v>244</v>
      </c>
      <c r="H403" s="52">
        <v>1</v>
      </c>
    </row>
    <row r="404" spans="1:8" ht="14.4" x14ac:dyDescent="0.3">
      <c r="A404" s="50">
        <v>1617</v>
      </c>
      <c r="B404" s="51">
        <v>20020040014</v>
      </c>
      <c r="C404" s="52" t="s">
        <v>2201</v>
      </c>
      <c r="D404" s="52" t="s">
        <v>733</v>
      </c>
      <c r="E404" s="52" t="s">
        <v>2202</v>
      </c>
      <c r="F404" s="52" t="s">
        <v>618</v>
      </c>
      <c r="G404" s="52" t="s">
        <v>244</v>
      </c>
      <c r="H404" s="52">
        <v>1</v>
      </c>
    </row>
    <row r="405" spans="1:8" ht="14.4" x14ac:dyDescent="0.3">
      <c r="A405" s="50">
        <v>1621</v>
      </c>
      <c r="B405" s="51">
        <v>20001054089</v>
      </c>
      <c r="C405" s="52" t="s">
        <v>1603</v>
      </c>
      <c r="D405" s="52" t="s">
        <v>654</v>
      </c>
      <c r="E405" s="52" t="s">
        <v>1326</v>
      </c>
      <c r="F405" s="52" t="s">
        <v>1086</v>
      </c>
      <c r="G405" s="52" t="s">
        <v>213</v>
      </c>
      <c r="H405" s="52">
        <v>1</v>
      </c>
    </row>
    <row r="406" spans="1:8" ht="14.4" x14ac:dyDescent="0.3">
      <c r="A406" s="50">
        <v>1623</v>
      </c>
      <c r="B406" s="51">
        <v>20000630026</v>
      </c>
      <c r="C406" s="52" t="s">
        <v>1125</v>
      </c>
      <c r="D406" s="52" t="s">
        <v>1126</v>
      </c>
      <c r="E406" s="52" t="s">
        <v>2896</v>
      </c>
      <c r="F406" s="52" t="s">
        <v>618</v>
      </c>
      <c r="G406" s="52" t="s">
        <v>244</v>
      </c>
      <c r="H406" s="52">
        <v>1</v>
      </c>
    </row>
    <row r="407" spans="1:8" ht="14.4" x14ac:dyDescent="0.3">
      <c r="A407" s="50">
        <v>1626</v>
      </c>
      <c r="B407" s="51">
        <v>20009001113</v>
      </c>
      <c r="C407" s="52" t="s">
        <v>2175</v>
      </c>
      <c r="D407" s="52" t="s">
        <v>715</v>
      </c>
      <c r="E407" s="52" t="s">
        <v>1970</v>
      </c>
      <c r="F407" s="52" t="s">
        <v>1086</v>
      </c>
      <c r="G407" s="52" t="s">
        <v>244</v>
      </c>
      <c r="H407" s="52">
        <v>1</v>
      </c>
    </row>
    <row r="408" spans="1:8" ht="14.4" x14ac:dyDescent="0.3">
      <c r="A408" s="50">
        <v>1627</v>
      </c>
      <c r="B408" s="51">
        <v>20001052065</v>
      </c>
      <c r="C408" s="52" t="s">
        <v>1527</v>
      </c>
      <c r="D408" s="52" t="s">
        <v>1505</v>
      </c>
      <c r="E408" s="52" t="s">
        <v>1326</v>
      </c>
      <c r="F408" s="52" t="s">
        <v>628</v>
      </c>
      <c r="G408" s="52" t="s">
        <v>213</v>
      </c>
      <c r="H408" s="52">
        <v>1</v>
      </c>
    </row>
    <row r="409" spans="1:8" ht="14.4" x14ac:dyDescent="0.3">
      <c r="A409" s="50">
        <v>1628</v>
      </c>
      <c r="B409" s="51">
        <v>20001054089</v>
      </c>
      <c r="C409" s="52" t="s">
        <v>1615</v>
      </c>
      <c r="D409" s="52" t="s">
        <v>1616</v>
      </c>
      <c r="E409" s="52" t="s">
        <v>1326</v>
      </c>
      <c r="F409" s="52" t="s">
        <v>1086</v>
      </c>
      <c r="G409" s="52" t="s">
        <v>213</v>
      </c>
      <c r="H409" s="52">
        <v>1</v>
      </c>
    </row>
    <row r="410" spans="1:8" ht="14.4" x14ac:dyDescent="0.3">
      <c r="A410" s="50">
        <v>1629</v>
      </c>
      <c r="B410" s="51">
        <v>20051001108</v>
      </c>
      <c r="C410" s="52" t="s">
        <v>2328</v>
      </c>
      <c r="D410" s="52" t="s">
        <v>785</v>
      </c>
      <c r="E410" s="52" t="s">
        <v>1988</v>
      </c>
      <c r="F410" s="52" t="s">
        <v>628</v>
      </c>
      <c r="G410" s="52" t="s">
        <v>213</v>
      </c>
      <c r="H410" s="52">
        <v>1</v>
      </c>
    </row>
    <row r="411" spans="1:8" ht="14.4" x14ac:dyDescent="0.3">
      <c r="A411" s="36">
        <v>1630</v>
      </c>
      <c r="B411" s="36">
        <v>20060110034</v>
      </c>
      <c r="C411" s="36" t="s">
        <v>1543</v>
      </c>
      <c r="D411" s="36" t="s">
        <v>1408</v>
      </c>
      <c r="E411" s="36" t="s">
        <v>2365</v>
      </c>
      <c r="F411" s="36" t="s">
        <v>618</v>
      </c>
      <c r="G411" s="36" t="s">
        <v>244</v>
      </c>
      <c r="H411" s="36">
        <v>1</v>
      </c>
    </row>
    <row r="412" spans="1:8" ht="14.4" x14ac:dyDescent="0.3">
      <c r="A412" s="36">
        <v>1631</v>
      </c>
      <c r="B412" s="36">
        <v>20060110031</v>
      </c>
      <c r="C412" s="36" t="s">
        <v>2343</v>
      </c>
      <c r="D412" s="36" t="s">
        <v>1078</v>
      </c>
      <c r="E412" s="36" t="s">
        <v>3306</v>
      </c>
      <c r="F412" s="36" t="s">
        <v>618</v>
      </c>
      <c r="G412" s="36" t="s">
        <v>244</v>
      </c>
      <c r="H412" s="36">
        <v>1</v>
      </c>
    </row>
    <row r="413" spans="1:8" ht="14.4" x14ac:dyDescent="0.3">
      <c r="A413" s="36">
        <v>1632</v>
      </c>
      <c r="B413" s="36">
        <v>20060110031</v>
      </c>
      <c r="C413" s="36" t="s">
        <v>2341</v>
      </c>
      <c r="D413" s="36" t="s">
        <v>690</v>
      </c>
      <c r="E413" s="36" t="s">
        <v>2342</v>
      </c>
      <c r="F413" s="36" t="s">
        <v>618</v>
      </c>
      <c r="G413" s="36" t="s">
        <v>244</v>
      </c>
      <c r="H413" s="36">
        <v>1</v>
      </c>
    </row>
    <row r="414" spans="1:8" ht="14.4" x14ac:dyDescent="0.3">
      <c r="A414" s="36">
        <v>1634</v>
      </c>
      <c r="B414" s="36">
        <v>20000800025</v>
      </c>
      <c r="C414" s="36" t="s">
        <v>1254</v>
      </c>
      <c r="D414" s="36" t="s">
        <v>859</v>
      </c>
      <c r="E414" s="36" t="s">
        <v>1255</v>
      </c>
      <c r="F414" s="36" t="s">
        <v>618</v>
      </c>
      <c r="G414" s="36" t="s">
        <v>244</v>
      </c>
      <c r="H414" s="36">
        <v>1</v>
      </c>
    </row>
    <row r="415" spans="1:8" ht="14.4" x14ac:dyDescent="0.3">
      <c r="A415" s="50">
        <v>1635</v>
      </c>
      <c r="B415" s="51">
        <v>20000570122</v>
      </c>
      <c r="C415" s="52" t="s">
        <v>1081</v>
      </c>
      <c r="D415" s="52" t="s">
        <v>1082</v>
      </c>
      <c r="E415" s="52" t="s">
        <v>1031</v>
      </c>
      <c r="F415" s="52" t="s">
        <v>628</v>
      </c>
      <c r="G415" s="52" t="s">
        <v>244</v>
      </c>
      <c r="H415" s="52">
        <v>0.8</v>
      </c>
    </row>
    <row r="416" spans="1:8" ht="14.4" x14ac:dyDescent="0.3">
      <c r="A416" s="50">
        <v>1637</v>
      </c>
      <c r="B416" s="51">
        <v>20009001108</v>
      </c>
      <c r="C416" s="52" t="s">
        <v>2060</v>
      </c>
      <c r="D416" s="52" t="s">
        <v>852</v>
      </c>
      <c r="E416" s="52" t="s">
        <v>1970</v>
      </c>
      <c r="F416" s="52" t="s">
        <v>628</v>
      </c>
      <c r="G416" s="52" t="s">
        <v>213</v>
      </c>
      <c r="H416" s="52">
        <v>1</v>
      </c>
    </row>
    <row r="417" spans="1:8" ht="14.4" x14ac:dyDescent="0.3">
      <c r="A417" s="50">
        <v>1638</v>
      </c>
      <c r="B417" s="51">
        <v>20001052061</v>
      </c>
      <c r="C417" s="52" t="s">
        <v>1442</v>
      </c>
      <c r="D417" s="52" t="s">
        <v>1443</v>
      </c>
      <c r="E417" s="52" t="s">
        <v>1326</v>
      </c>
      <c r="F417" s="52" t="s">
        <v>1441</v>
      </c>
      <c r="G417" s="52" t="s">
        <v>213</v>
      </c>
      <c r="H417" s="52">
        <v>1</v>
      </c>
    </row>
    <row r="418" spans="1:8" ht="14.4" x14ac:dyDescent="0.3">
      <c r="A418" s="50">
        <v>1639</v>
      </c>
      <c r="B418" s="51">
        <v>20009001107</v>
      </c>
      <c r="C418" s="52" t="s">
        <v>1276</v>
      </c>
      <c r="D418" s="52" t="s">
        <v>2039</v>
      </c>
      <c r="E418" s="52" t="s">
        <v>1970</v>
      </c>
      <c r="F418" s="52" t="s">
        <v>1441</v>
      </c>
      <c r="G418" s="52" t="s">
        <v>213</v>
      </c>
      <c r="H418" s="52">
        <v>1</v>
      </c>
    </row>
    <row r="419" spans="1:8" ht="14.4" x14ac:dyDescent="0.3">
      <c r="A419" s="50">
        <v>1640</v>
      </c>
      <c r="B419" s="51">
        <v>20009001108</v>
      </c>
      <c r="C419" s="52" t="s">
        <v>2069</v>
      </c>
      <c r="D419" s="52" t="s">
        <v>1507</v>
      </c>
      <c r="E419" s="52" t="s">
        <v>1970</v>
      </c>
      <c r="F419" s="52" t="s">
        <v>628</v>
      </c>
      <c r="G419" s="52" t="s">
        <v>244</v>
      </c>
      <c r="H419" s="52">
        <v>1</v>
      </c>
    </row>
    <row r="420" spans="1:8" ht="14.4" x14ac:dyDescent="0.3">
      <c r="A420" s="50">
        <v>1641</v>
      </c>
      <c r="B420" s="51">
        <v>20001260017</v>
      </c>
      <c r="C420" s="52" t="s">
        <v>1886</v>
      </c>
      <c r="D420" s="52" t="s">
        <v>1887</v>
      </c>
      <c r="E420" s="52" t="s">
        <v>1888</v>
      </c>
      <c r="F420" s="52" t="s">
        <v>618</v>
      </c>
      <c r="G420" s="52" t="s">
        <v>213</v>
      </c>
      <c r="H420" s="52">
        <v>1</v>
      </c>
    </row>
    <row r="421" spans="1:8" ht="14.4" x14ac:dyDescent="0.3">
      <c r="A421" s="50">
        <v>1642</v>
      </c>
      <c r="B421" s="51">
        <v>20001104092</v>
      </c>
      <c r="C421" s="52" t="s">
        <v>1831</v>
      </c>
      <c r="D421" s="52" t="s">
        <v>1832</v>
      </c>
      <c r="E421" s="52" t="s">
        <v>3410</v>
      </c>
      <c r="F421" s="52" t="s">
        <v>1086</v>
      </c>
      <c r="G421" s="52" t="s">
        <v>244</v>
      </c>
      <c r="H421" s="52">
        <v>1</v>
      </c>
    </row>
    <row r="422" spans="1:8" ht="14.4" x14ac:dyDescent="0.3">
      <c r="A422" s="50">
        <v>1643</v>
      </c>
      <c r="B422" s="51">
        <v>20009001108</v>
      </c>
      <c r="C422" s="52" t="s">
        <v>2059</v>
      </c>
      <c r="D422" s="52" t="s">
        <v>741</v>
      </c>
      <c r="E422" s="52" t="s">
        <v>1970</v>
      </c>
      <c r="F422" s="52" t="s">
        <v>628</v>
      </c>
      <c r="G422" s="52" t="s">
        <v>213</v>
      </c>
      <c r="H422" s="52">
        <v>1</v>
      </c>
    </row>
    <row r="423" spans="1:8" ht="14.4" x14ac:dyDescent="0.3">
      <c r="A423" s="50">
        <v>1646</v>
      </c>
      <c r="B423" s="51">
        <v>20000330010</v>
      </c>
      <c r="C423" s="52" t="s">
        <v>853</v>
      </c>
      <c r="D423" s="52" t="s">
        <v>700</v>
      </c>
      <c r="E423" s="52" t="s">
        <v>3402</v>
      </c>
      <c r="F423" s="52" t="s">
        <v>618</v>
      </c>
      <c r="G423" s="52" t="s">
        <v>244</v>
      </c>
      <c r="H423" s="52">
        <v>1</v>
      </c>
    </row>
    <row r="424" spans="1:8" ht="14.4" x14ac:dyDescent="0.3">
      <c r="A424" s="50">
        <v>1647</v>
      </c>
      <c r="B424" s="51">
        <v>20000650027</v>
      </c>
      <c r="C424" s="52" t="s">
        <v>1153</v>
      </c>
      <c r="D424" s="52" t="s">
        <v>1154</v>
      </c>
      <c r="E424" s="52" t="s">
        <v>3411</v>
      </c>
      <c r="F424" s="52" t="s">
        <v>618</v>
      </c>
      <c r="G424" s="52" t="s">
        <v>244</v>
      </c>
      <c r="H424" s="52">
        <v>1</v>
      </c>
    </row>
    <row r="425" spans="1:8" ht="14.4" x14ac:dyDescent="0.3">
      <c r="A425" s="50">
        <v>1649</v>
      </c>
      <c r="B425" s="51">
        <v>20001104092</v>
      </c>
      <c r="C425" s="52" t="s">
        <v>1829</v>
      </c>
      <c r="D425" s="52" t="s">
        <v>1830</v>
      </c>
      <c r="E425" s="52" t="s">
        <v>3412</v>
      </c>
      <c r="F425" s="52" t="s">
        <v>1086</v>
      </c>
      <c r="G425" s="52" t="s">
        <v>244</v>
      </c>
      <c r="H425" s="52">
        <v>1</v>
      </c>
    </row>
    <row r="426" spans="1:8" ht="14.4" x14ac:dyDescent="0.3">
      <c r="A426" s="50">
        <v>1652</v>
      </c>
      <c r="B426" s="51">
        <v>20009001109</v>
      </c>
      <c r="C426" s="52" t="s">
        <v>2090</v>
      </c>
      <c r="D426" s="52" t="s">
        <v>2091</v>
      </c>
      <c r="E426" s="52" t="s">
        <v>1970</v>
      </c>
      <c r="F426" s="52" t="s">
        <v>1532</v>
      </c>
      <c r="G426" s="52" t="s">
        <v>213</v>
      </c>
      <c r="H426" s="52">
        <v>1</v>
      </c>
    </row>
    <row r="427" spans="1:8" ht="14.4" x14ac:dyDescent="0.3">
      <c r="A427" s="50">
        <v>1659</v>
      </c>
      <c r="B427" s="51">
        <v>20022001113</v>
      </c>
      <c r="C427" s="52" t="s">
        <v>2323</v>
      </c>
      <c r="D427" s="52" t="s">
        <v>2216</v>
      </c>
      <c r="E427" s="52" t="s">
        <v>2100</v>
      </c>
      <c r="F427" s="52" t="s">
        <v>1086</v>
      </c>
      <c r="G427" s="52" t="s">
        <v>213</v>
      </c>
      <c r="H427" s="52">
        <v>1</v>
      </c>
    </row>
    <row r="428" spans="1:8" ht="14.4" x14ac:dyDescent="0.3">
      <c r="A428" s="36">
        <v>1662</v>
      </c>
      <c r="B428" s="36">
        <v>20000110105</v>
      </c>
      <c r="C428" s="36" t="s">
        <v>2590</v>
      </c>
      <c r="D428" s="36" t="s">
        <v>908</v>
      </c>
      <c r="E428" s="36" t="s">
        <v>633</v>
      </c>
      <c r="F428" s="36" t="s">
        <v>628</v>
      </c>
      <c r="G428" s="36" t="s">
        <v>244</v>
      </c>
      <c r="H428" s="36">
        <v>1</v>
      </c>
    </row>
    <row r="429" spans="1:8" ht="14.4" x14ac:dyDescent="0.3">
      <c r="A429" s="50">
        <v>1663</v>
      </c>
      <c r="B429" s="51">
        <v>20009001109</v>
      </c>
      <c r="C429" s="52" t="s">
        <v>615</v>
      </c>
      <c r="D429" s="52" t="s">
        <v>672</v>
      </c>
      <c r="E429" s="52" t="s">
        <v>2094</v>
      </c>
      <c r="F429" s="52" t="s">
        <v>1532</v>
      </c>
      <c r="G429" s="52" t="s">
        <v>244</v>
      </c>
      <c r="H429" s="52">
        <v>1</v>
      </c>
    </row>
    <row r="430" spans="1:8" ht="14.4" x14ac:dyDescent="0.3">
      <c r="A430" s="50">
        <v>1664</v>
      </c>
      <c r="B430" s="51">
        <v>20000520019</v>
      </c>
      <c r="C430" s="52" t="s">
        <v>992</v>
      </c>
      <c r="D430" s="52" t="s">
        <v>857</v>
      </c>
      <c r="E430" s="52" t="s">
        <v>3413</v>
      </c>
      <c r="F430" s="52" t="s">
        <v>618</v>
      </c>
      <c r="G430" s="52" t="s">
        <v>244</v>
      </c>
      <c r="H430" s="52">
        <v>1</v>
      </c>
    </row>
    <row r="431" spans="1:8" ht="14.4" x14ac:dyDescent="0.3">
      <c r="A431" s="50">
        <v>1666</v>
      </c>
      <c r="B431" s="51">
        <v>20000630026</v>
      </c>
      <c r="C431" s="52" t="s">
        <v>1114</v>
      </c>
      <c r="D431" s="52" t="s">
        <v>1115</v>
      </c>
      <c r="E431" s="52" t="s">
        <v>1116</v>
      </c>
      <c r="F431" s="52" t="s">
        <v>618</v>
      </c>
      <c r="G431" s="52" t="s">
        <v>213</v>
      </c>
      <c r="H431" s="52">
        <v>1</v>
      </c>
    </row>
    <row r="432" spans="1:8" ht="14.4" x14ac:dyDescent="0.3">
      <c r="A432" s="50">
        <v>1667</v>
      </c>
      <c r="B432" s="51">
        <v>20060110033</v>
      </c>
      <c r="C432" s="52" t="s">
        <v>2354</v>
      </c>
      <c r="D432" s="52" t="s">
        <v>741</v>
      </c>
      <c r="E432" s="52" t="s">
        <v>2015</v>
      </c>
      <c r="F432" s="52" t="s">
        <v>618</v>
      </c>
      <c r="G432" s="52" t="s">
        <v>244</v>
      </c>
      <c r="H432" s="52">
        <v>1</v>
      </c>
    </row>
    <row r="433" spans="1:8" ht="14.4" x14ac:dyDescent="0.3">
      <c r="A433" s="36">
        <v>1669</v>
      </c>
      <c r="B433" s="36">
        <v>20060110034</v>
      </c>
      <c r="C433" s="36" t="s">
        <v>2041</v>
      </c>
      <c r="D433" s="36" t="s">
        <v>1919</v>
      </c>
      <c r="E433" s="36" t="s">
        <v>2015</v>
      </c>
      <c r="F433" s="36" t="s">
        <v>618</v>
      </c>
      <c r="G433" s="36" t="s">
        <v>244</v>
      </c>
      <c r="H433" s="36">
        <v>1</v>
      </c>
    </row>
    <row r="434" spans="1:8" ht="14.4" x14ac:dyDescent="0.3">
      <c r="A434" s="36">
        <v>1670</v>
      </c>
      <c r="B434" s="36">
        <v>20000650027</v>
      </c>
      <c r="C434" s="36" t="s">
        <v>1168</v>
      </c>
      <c r="D434" s="36" t="s">
        <v>1084</v>
      </c>
      <c r="E434" s="36" t="s">
        <v>3377</v>
      </c>
      <c r="F434" s="36" t="s">
        <v>618</v>
      </c>
      <c r="G434" s="36" t="s">
        <v>213</v>
      </c>
      <c r="H434" s="36">
        <v>1</v>
      </c>
    </row>
    <row r="435" spans="1:8" ht="14.4" x14ac:dyDescent="0.3">
      <c r="A435" s="50">
        <v>1676</v>
      </c>
      <c r="B435" s="51">
        <v>20001052069</v>
      </c>
      <c r="C435" s="52" t="s">
        <v>1538</v>
      </c>
      <c r="D435" s="52" t="s">
        <v>855</v>
      </c>
      <c r="E435" s="52" t="s">
        <v>1326</v>
      </c>
      <c r="F435" s="52" t="s">
        <v>1532</v>
      </c>
      <c r="G435" s="52" t="s">
        <v>213</v>
      </c>
      <c r="H435" s="52">
        <v>1</v>
      </c>
    </row>
    <row r="436" spans="1:8" ht="14.4" x14ac:dyDescent="0.3">
      <c r="A436" s="50">
        <v>1677</v>
      </c>
      <c r="B436" s="51">
        <v>20000040110</v>
      </c>
      <c r="C436" s="52" t="s">
        <v>624</v>
      </c>
      <c r="D436" s="52" t="s">
        <v>625</v>
      </c>
      <c r="E436" s="52" t="s">
        <v>3232</v>
      </c>
      <c r="F436" s="52" t="s">
        <v>618</v>
      </c>
      <c r="G436" s="52" t="s">
        <v>213</v>
      </c>
      <c r="H436" s="52">
        <v>1</v>
      </c>
    </row>
    <row r="437" spans="1:8" ht="14.4" x14ac:dyDescent="0.3">
      <c r="A437" s="50">
        <v>1678</v>
      </c>
      <c r="B437" s="51">
        <v>20000630026</v>
      </c>
      <c r="C437" s="52" t="s">
        <v>1111</v>
      </c>
      <c r="D437" s="52" t="s">
        <v>846</v>
      </c>
      <c r="E437" s="52" t="s">
        <v>3388</v>
      </c>
      <c r="F437" s="52" t="s">
        <v>618</v>
      </c>
      <c r="G437" s="52" t="s">
        <v>244</v>
      </c>
      <c r="H437" s="52">
        <v>1</v>
      </c>
    </row>
    <row r="438" spans="1:8" ht="14.4" x14ac:dyDescent="0.3">
      <c r="A438" s="50">
        <v>1679</v>
      </c>
      <c r="B438" s="51">
        <v>20000360010</v>
      </c>
      <c r="C438" s="52" t="s">
        <v>946</v>
      </c>
      <c r="D438" s="52" t="s">
        <v>747</v>
      </c>
      <c r="E438" s="52" t="s">
        <v>663</v>
      </c>
      <c r="F438" s="52" t="s">
        <v>664</v>
      </c>
      <c r="G438" s="52" t="s">
        <v>244</v>
      </c>
      <c r="H438" s="52">
        <v>0.8</v>
      </c>
    </row>
    <row r="439" spans="1:8" ht="14.4" x14ac:dyDescent="0.3">
      <c r="A439" s="50">
        <v>1681</v>
      </c>
      <c r="B439" s="51">
        <v>20001260017</v>
      </c>
      <c r="C439" s="52" t="s">
        <v>1926</v>
      </c>
      <c r="D439" s="52" t="s">
        <v>1927</v>
      </c>
      <c r="E439" s="52" t="s">
        <v>1917</v>
      </c>
      <c r="F439" s="52" t="s">
        <v>618</v>
      </c>
      <c r="G439" s="52" t="s">
        <v>244</v>
      </c>
      <c r="H439" s="52">
        <v>1</v>
      </c>
    </row>
    <row r="440" spans="1:8" ht="14.4" x14ac:dyDescent="0.3">
      <c r="A440" s="50">
        <v>1682</v>
      </c>
      <c r="B440" s="51">
        <v>20000040110</v>
      </c>
      <c r="C440" s="52" t="s">
        <v>621</v>
      </c>
      <c r="D440" s="52" t="s">
        <v>622</v>
      </c>
      <c r="E440" s="52" t="s">
        <v>623</v>
      </c>
      <c r="F440" s="52" t="s">
        <v>618</v>
      </c>
      <c r="G440" s="52" t="s">
        <v>213</v>
      </c>
      <c r="H440" s="52">
        <v>1</v>
      </c>
    </row>
    <row r="441" spans="1:8" ht="14.4" x14ac:dyDescent="0.3">
      <c r="A441" s="50">
        <v>1683</v>
      </c>
      <c r="B441" s="51">
        <v>20000310010</v>
      </c>
      <c r="C441" s="52" t="s">
        <v>661</v>
      </c>
      <c r="D441" s="52" t="s">
        <v>662</v>
      </c>
      <c r="E441" s="52" t="s">
        <v>663</v>
      </c>
      <c r="F441" s="52" t="s">
        <v>664</v>
      </c>
      <c r="G441" s="52" t="s">
        <v>244</v>
      </c>
      <c r="H441" s="52">
        <v>1</v>
      </c>
    </row>
    <row r="442" spans="1:8" ht="14.4" x14ac:dyDescent="0.3">
      <c r="A442" s="50">
        <v>1684</v>
      </c>
      <c r="B442" s="51">
        <v>20020114093</v>
      </c>
      <c r="C442" s="52" t="s">
        <v>2132</v>
      </c>
      <c r="D442" s="52" t="s">
        <v>1587</v>
      </c>
      <c r="E442" s="52" t="s">
        <v>2237</v>
      </c>
      <c r="F442" s="52" t="s">
        <v>620</v>
      </c>
      <c r="G442" s="52" t="s">
        <v>213</v>
      </c>
      <c r="H442" s="52">
        <v>1</v>
      </c>
    </row>
    <row r="443" spans="1:8" ht="14.4" x14ac:dyDescent="0.3">
      <c r="A443" s="50">
        <v>1688</v>
      </c>
      <c r="B443" s="51">
        <v>20000330010</v>
      </c>
      <c r="C443" s="52" t="s">
        <v>880</v>
      </c>
      <c r="D443" s="52" t="s">
        <v>700</v>
      </c>
      <c r="E443" s="52" t="s">
        <v>3402</v>
      </c>
      <c r="F443" s="52" t="s">
        <v>618</v>
      </c>
      <c r="G443" s="52" t="s">
        <v>244</v>
      </c>
      <c r="H443" s="52">
        <v>1</v>
      </c>
    </row>
    <row r="444" spans="1:8" ht="14.4" x14ac:dyDescent="0.3">
      <c r="A444" s="50">
        <v>1695</v>
      </c>
      <c r="B444" s="51">
        <v>20000570122</v>
      </c>
      <c r="C444" s="52" t="s">
        <v>1077</v>
      </c>
      <c r="D444" s="52" t="s">
        <v>1078</v>
      </c>
      <c r="E444" s="52" t="s">
        <v>1031</v>
      </c>
      <c r="F444" s="52" t="s">
        <v>628</v>
      </c>
      <c r="G444" s="52" t="s">
        <v>213</v>
      </c>
      <c r="H444" s="52">
        <v>1</v>
      </c>
    </row>
    <row r="445" spans="1:8" ht="14.4" x14ac:dyDescent="0.3">
      <c r="A445" s="50">
        <v>1697</v>
      </c>
      <c r="B445" s="51">
        <v>20001054085</v>
      </c>
      <c r="C445" s="52" t="s">
        <v>1605</v>
      </c>
      <c r="D445" s="52" t="s">
        <v>868</v>
      </c>
      <c r="E445" s="52" t="s">
        <v>1326</v>
      </c>
      <c r="F445" s="52" t="s">
        <v>620</v>
      </c>
      <c r="G445" s="52" t="s">
        <v>213</v>
      </c>
      <c r="H445" s="52">
        <v>1</v>
      </c>
    </row>
    <row r="446" spans="1:8" ht="14.4" x14ac:dyDescent="0.3">
      <c r="A446" s="50">
        <v>1700</v>
      </c>
      <c r="B446" s="51">
        <v>20001260017</v>
      </c>
      <c r="C446" s="52" t="s">
        <v>1928</v>
      </c>
      <c r="D446" s="52" t="s">
        <v>1490</v>
      </c>
      <c r="E446" s="52" t="s">
        <v>1910</v>
      </c>
      <c r="F446" s="52" t="s">
        <v>618</v>
      </c>
      <c r="G446" s="52" t="s">
        <v>244</v>
      </c>
      <c r="H446" s="52">
        <v>1</v>
      </c>
    </row>
    <row r="447" spans="1:8" ht="14.4" x14ac:dyDescent="0.3">
      <c r="A447" s="50">
        <v>1701</v>
      </c>
      <c r="B447" s="51">
        <v>20000310010</v>
      </c>
      <c r="C447" s="52" t="s">
        <v>2871</v>
      </c>
      <c r="D447" s="52" t="s">
        <v>700</v>
      </c>
      <c r="E447" s="52" t="s">
        <v>3402</v>
      </c>
      <c r="F447" s="52" t="s">
        <v>618</v>
      </c>
      <c r="G447" s="52" t="s">
        <v>244</v>
      </c>
      <c r="H447" s="52">
        <v>1</v>
      </c>
    </row>
    <row r="448" spans="1:8" ht="14.4" x14ac:dyDescent="0.3">
      <c r="A448" s="50">
        <v>1702</v>
      </c>
      <c r="B448" s="51">
        <v>20001052065</v>
      </c>
      <c r="C448" s="52" t="s">
        <v>1523</v>
      </c>
      <c r="D448" s="52" t="s">
        <v>1524</v>
      </c>
      <c r="E448" s="52" t="s">
        <v>3376</v>
      </c>
      <c r="F448" s="52" t="s">
        <v>628</v>
      </c>
      <c r="G448" s="52" t="s">
        <v>244</v>
      </c>
      <c r="H448" s="52">
        <v>1</v>
      </c>
    </row>
    <row r="449" spans="1:8" ht="14.4" x14ac:dyDescent="0.3">
      <c r="A449" s="50">
        <v>1705</v>
      </c>
      <c r="B449" s="51">
        <v>20000830030</v>
      </c>
      <c r="C449" s="52" t="s">
        <v>954</v>
      </c>
      <c r="D449" s="52" t="s">
        <v>1273</v>
      </c>
      <c r="E449" s="52" t="s">
        <v>3356</v>
      </c>
      <c r="F449" s="52" t="s">
        <v>618</v>
      </c>
      <c r="G449" s="52" t="s">
        <v>244</v>
      </c>
      <c r="H449" s="52">
        <v>1</v>
      </c>
    </row>
    <row r="450" spans="1:8" ht="14.4" x14ac:dyDescent="0.3">
      <c r="A450" s="50">
        <v>1706</v>
      </c>
      <c r="B450" s="51">
        <v>20000570122</v>
      </c>
      <c r="C450" s="52" t="s">
        <v>1062</v>
      </c>
      <c r="D450" s="52" t="s">
        <v>1063</v>
      </c>
      <c r="E450" s="52" t="s">
        <v>3414</v>
      </c>
      <c r="F450" s="52" t="s">
        <v>628</v>
      </c>
      <c r="G450" s="52" t="s">
        <v>244</v>
      </c>
      <c r="H450" s="52">
        <v>1</v>
      </c>
    </row>
    <row r="451" spans="1:8" ht="14.4" x14ac:dyDescent="0.3">
      <c r="A451" s="50">
        <v>1707</v>
      </c>
      <c r="B451" s="51">
        <v>20001102072</v>
      </c>
      <c r="C451" s="52" t="s">
        <v>1768</v>
      </c>
      <c r="D451" s="52" t="s">
        <v>1164</v>
      </c>
      <c r="E451" s="52" t="s">
        <v>1377</v>
      </c>
      <c r="F451" s="52" t="s">
        <v>1532</v>
      </c>
      <c r="G451" s="52" t="s">
        <v>213</v>
      </c>
      <c r="H451" s="52">
        <v>1</v>
      </c>
    </row>
    <row r="452" spans="1:8" ht="14.4" x14ac:dyDescent="0.3">
      <c r="A452" s="50">
        <v>1708</v>
      </c>
      <c r="B452" s="51">
        <v>20001052069</v>
      </c>
      <c r="C452" s="52" t="s">
        <v>1764</v>
      </c>
      <c r="D452" s="52" t="s">
        <v>773</v>
      </c>
      <c r="E452" s="52" t="s">
        <v>1326</v>
      </c>
      <c r="F452" s="52" t="s">
        <v>1532</v>
      </c>
      <c r="G452" s="52" t="s">
        <v>213</v>
      </c>
      <c r="H452" s="52">
        <v>1</v>
      </c>
    </row>
    <row r="453" spans="1:8" ht="14.4" x14ac:dyDescent="0.3">
      <c r="A453" s="50">
        <v>1709</v>
      </c>
      <c r="B453" s="51">
        <v>20019110095</v>
      </c>
      <c r="C453" s="52" t="s">
        <v>748</v>
      </c>
      <c r="D453" s="52" t="s">
        <v>635</v>
      </c>
      <c r="E453" s="52" t="s">
        <v>2182</v>
      </c>
      <c r="F453" s="52" t="s">
        <v>628</v>
      </c>
      <c r="G453" s="52" t="s">
        <v>244</v>
      </c>
      <c r="H453" s="52">
        <v>1</v>
      </c>
    </row>
    <row r="454" spans="1:8" ht="14.4" x14ac:dyDescent="0.3">
      <c r="A454" s="50">
        <v>1710</v>
      </c>
      <c r="B454" s="51">
        <v>20009001109</v>
      </c>
      <c r="C454" s="52" t="s">
        <v>2095</v>
      </c>
      <c r="D454" s="52" t="s">
        <v>1279</v>
      </c>
      <c r="E454" s="52" t="s">
        <v>1970</v>
      </c>
      <c r="F454" s="52" t="s">
        <v>1532</v>
      </c>
      <c r="G454" s="52" t="s">
        <v>213</v>
      </c>
      <c r="H454" s="52">
        <v>1</v>
      </c>
    </row>
    <row r="455" spans="1:8" ht="14.4" x14ac:dyDescent="0.3">
      <c r="A455" s="50">
        <v>1711</v>
      </c>
      <c r="B455" s="51">
        <v>20000680024</v>
      </c>
      <c r="C455" s="52" t="s">
        <v>1218</v>
      </c>
      <c r="D455" s="52" t="s">
        <v>988</v>
      </c>
      <c r="E455" s="52" t="s">
        <v>1219</v>
      </c>
      <c r="F455" s="52" t="s">
        <v>618</v>
      </c>
      <c r="G455" s="52" t="s">
        <v>213</v>
      </c>
      <c r="H455" s="52">
        <v>1</v>
      </c>
    </row>
    <row r="456" spans="1:8" ht="14.4" x14ac:dyDescent="0.3">
      <c r="A456" s="50">
        <v>1712</v>
      </c>
      <c r="B456" s="51">
        <v>20000340010</v>
      </c>
      <c r="C456" s="52" t="s">
        <v>913</v>
      </c>
      <c r="D456" s="52" t="s">
        <v>914</v>
      </c>
      <c r="E456" s="52" t="s">
        <v>2923</v>
      </c>
      <c r="F456" s="52" t="s">
        <v>664</v>
      </c>
      <c r="G456" s="52" t="s">
        <v>244</v>
      </c>
      <c r="H456" s="52">
        <v>1</v>
      </c>
    </row>
    <row r="457" spans="1:8" ht="14.4" x14ac:dyDescent="0.3">
      <c r="A457" s="50">
        <v>1713</v>
      </c>
      <c r="B457" s="51">
        <v>20000550020</v>
      </c>
      <c r="C457" s="52" t="s">
        <v>1018</v>
      </c>
      <c r="D457" s="52" t="s">
        <v>676</v>
      </c>
      <c r="E457" s="52" t="s">
        <v>1019</v>
      </c>
      <c r="F457" s="52" t="s">
        <v>618</v>
      </c>
      <c r="G457" s="52" t="s">
        <v>244</v>
      </c>
      <c r="H457" s="52">
        <v>1</v>
      </c>
    </row>
    <row r="458" spans="1:8" ht="14.4" x14ac:dyDescent="0.3">
      <c r="A458" s="50">
        <v>1714</v>
      </c>
      <c r="B458" s="51">
        <v>20000310010</v>
      </c>
      <c r="C458" s="52" t="s">
        <v>720</v>
      </c>
      <c r="D458" s="52" t="s">
        <v>721</v>
      </c>
      <c r="E458" s="52" t="s">
        <v>663</v>
      </c>
      <c r="F458" s="52" t="s">
        <v>664</v>
      </c>
      <c r="G458" s="52" t="s">
        <v>244</v>
      </c>
      <c r="H458" s="52">
        <v>1</v>
      </c>
    </row>
    <row r="459" spans="1:8" ht="14.4" x14ac:dyDescent="0.3">
      <c r="A459" s="50">
        <v>1715</v>
      </c>
      <c r="B459" s="51">
        <v>20000310010</v>
      </c>
      <c r="C459" s="52" t="s">
        <v>730</v>
      </c>
      <c r="D459" s="52" t="s">
        <v>731</v>
      </c>
      <c r="E459" s="52" t="s">
        <v>3402</v>
      </c>
      <c r="F459" s="52" t="s">
        <v>618</v>
      </c>
      <c r="G459" s="52" t="s">
        <v>244</v>
      </c>
      <c r="H459" s="52">
        <v>1</v>
      </c>
    </row>
    <row r="460" spans="1:8" ht="14.4" x14ac:dyDescent="0.3">
      <c r="A460" s="50">
        <v>1716</v>
      </c>
      <c r="B460" s="51">
        <v>20020052066</v>
      </c>
      <c r="C460" s="52" t="s">
        <v>1480</v>
      </c>
      <c r="D460" s="52" t="s">
        <v>785</v>
      </c>
      <c r="E460" s="52" t="s">
        <v>3207</v>
      </c>
      <c r="F460" s="52" t="s">
        <v>628</v>
      </c>
      <c r="G460" s="52" t="s">
        <v>213</v>
      </c>
      <c r="H460" s="52">
        <v>1</v>
      </c>
    </row>
    <row r="461" spans="1:8" ht="14.4" x14ac:dyDescent="0.3">
      <c r="A461" s="50">
        <v>1717</v>
      </c>
      <c r="B461" s="51">
        <v>20051001108</v>
      </c>
      <c r="C461" s="52" t="s">
        <v>2329</v>
      </c>
      <c r="D461" s="52" t="s">
        <v>795</v>
      </c>
      <c r="E461" s="52" t="s">
        <v>1988</v>
      </c>
      <c r="F461" s="52" t="s">
        <v>628</v>
      </c>
      <c r="G461" s="52" t="s">
        <v>213</v>
      </c>
      <c r="H461" s="52">
        <v>1</v>
      </c>
    </row>
    <row r="462" spans="1:8" ht="14.4" x14ac:dyDescent="0.3">
      <c r="A462" s="36">
        <v>1718</v>
      </c>
      <c r="B462" s="36">
        <v>20000650027</v>
      </c>
      <c r="C462" s="36" t="s">
        <v>1181</v>
      </c>
      <c r="D462" s="36" t="s">
        <v>676</v>
      </c>
      <c r="E462" s="36" t="s">
        <v>1182</v>
      </c>
      <c r="F462" s="36" t="s">
        <v>618</v>
      </c>
      <c r="G462" s="36" t="s">
        <v>213</v>
      </c>
      <c r="H462" s="36">
        <v>1</v>
      </c>
    </row>
    <row r="463" spans="1:8" ht="14.4" x14ac:dyDescent="0.3">
      <c r="A463" s="50">
        <v>1719</v>
      </c>
      <c r="B463" s="51">
        <v>20001104088</v>
      </c>
      <c r="C463" s="52" t="s">
        <v>2246</v>
      </c>
      <c r="D463" s="52" t="s">
        <v>1071</v>
      </c>
      <c r="E463" s="52" t="s">
        <v>1642</v>
      </c>
      <c r="F463" s="52" t="s">
        <v>620</v>
      </c>
      <c r="G463" s="52" t="s">
        <v>213</v>
      </c>
      <c r="H463" s="52">
        <v>1</v>
      </c>
    </row>
    <row r="464" spans="1:8" ht="14.4" x14ac:dyDescent="0.3">
      <c r="A464" s="50">
        <v>1720</v>
      </c>
      <c r="B464" s="51">
        <v>20001104088</v>
      </c>
      <c r="C464" s="52" t="s">
        <v>1100</v>
      </c>
      <c r="D464" s="52" t="s">
        <v>901</v>
      </c>
      <c r="E464" s="52" t="s">
        <v>2769</v>
      </c>
      <c r="F464" s="52" t="s">
        <v>620</v>
      </c>
      <c r="G464" s="52" t="s">
        <v>213</v>
      </c>
      <c r="H464" s="52">
        <v>1</v>
      </c>
    </row>
    <row r="465" spans="1:8" ht="14.4" x14ac:dyDescent="0.3">
      <c r="A465" s="50">
        <v>1721</v>
      </c>
      <c r="B465" s="51">
        <v>20001052065</v>
      </c>
      <c r="C465" s="52" t="s">
        <v>1520</v>
      </c>
      <c r="D465" s="52" t="s">
        <v>668</v>
      </c>
      <c r="E465" s="52" t="s">
        <v>3409</v>
      </c>
      <c r="F465" s="52" t="s">
        <v>628</v>
      </c>
      <c r="G465" s="52" t="s">
        <v>244</v>
      </c>
      <c r="H465" s="52">
        <v>1</v>
      </c>
    </row>
    <row r="466" spans="1:8" ht="14.4" x14ac:dyDescent="0.3">
      <c r="A466" s="50">
        <v>1723</v>
      </c>
      <c r="B466" s="51">
        <v>20001050115</v>
      </c>
      <c r="C466" s="52" t="s">
        <v>1105</v>
      </c>
      <c r="D466" s="52" t="s">
        <v>1106</v>
      </c>
      <c r="E466" s="52" t="s">
        <v>2943</v>
      </c>
      <c r="F466" s="52" t="s">
        <v>620</v>
      </c>
      <c r="G466" s="52" t="s">
        <v>213</v>
      </c>
      <c r="H466" s="52">
        <v>1</v>
      </c>
    </row>
    <row r="467" spans="1:8" ht="14.4" x14ac:dyDescent="0.3">
      <c r="A467" s="50">
        <v>1724</v>
      </c>
      <c r="B467" s="51">
        <v>20051092067</v>
      </c>
      <c r="C467" s="52" t="s">
        <v>1536</v>
      </c>
      <c r="D467" s="52" t="s">
        <v>1170</v>
      </c>
      <c r="E467" s="52" t="s">
        <v>2339</v>
      </c>
      <c r="F467" s="52" t="s">
        <v>628</v>
      </c>
      <c r="G467" s="52" t="s">
        <v>244</v>
      </c>
      <c r="H467" s="52">
        <v>1</v>
      </c>
    </row>
    <row r="468" spans="1:8" ht="14.4" x14ac:dyDescent="0.3">
      <c r="A468" s="36">
        <v>1725</v>
      </c>
      <c r="B468" s="36">
        <v>20001052065</v>
      </c>
      <c r="C468" s="36" t="s">
        <v>1438</v>
      </c>
      <c r="D468" s="36" t="s">
        <v>1530</v>
      </c>
      <c r="E468" s="36" t="s">
        <v>1326</v>
      </c>
      <c r="F468" s="36" t="s">
        <v>628</v>
      </c>
      <c r="G468" s="36" t="s">
        <v>244</v>
      </c>
      <c r="H468" s="36">
        <v>1</v>
      </c>
    </row>
    <row r="469" spans="1:8" ht="14.4" x14ac:dyDescent="0.3">
      <c r="A469" s="50">
        <v>1726</v>
      </c>
      <c r="B469" s="51">
        <v>20000570009</v>
      </c>
      <c r="C469" s="52" t="s">
        <v>1027</v>
      </c>
      <c r="D469" s="52" t="s">
        <v>1028</v>
      </c>
      <c r="E469" s="52" t="s">
        <v>3415</v>
      </c>
      <c r="F469" s="52" t="s">
        <v>618</v>
      </c>
      <c r="G469" s="52" t="s">
        <v>244</v>
      </c>
      <c r="H469" s="52">
        <v>1</v>
      </c>
    </row>
    <row r="470" spans="1:8" ht="14.4" x14ac:dyDescent="0.3">
      <c r="A470" s="50">
        <v>1727</v>
      </c>
      <c r="B470" s="51">
        <v>20000630026</v>
      </c>
      <c r="C470" s="52" t="s">
        <v>1110</v>
      </c>
      <c r="D470" s="52" t="s">
        <v>846</v>
      </c>
      <c r="E470" s="52" t="s">
        <v>1116</v>
      </c>
      <c r="F470" s="52" t="s">
        <v>618</v>
      </c>
      <c r="G470" s="52" t="s">
        <v>213</v>
      </c>
      <c r="H470" s="52">
        <v>1</v>
      </c>
    </row>
    <row r="471" spans="1:8" ht="14.4" x14ac:dyDescent="0.3">
      <c r="A471" s="50">
        <v>1728</v>
      </c>
      <c r="B471" s="51">
        <v>20000570009</v>
      </c>
      <c r="C471" s="52" t="s">
        <v>1039</v>
      </c>
      <c r="D471" s="52" t="s">
        <v>908</v>
      </c>
      <c r="E471" s="52" t="s">
        <v>3415</v>
      </c>
      <c r="F471" s="52" t="s">
        <v>618</v>
      </c>
      <c r="G471" s="52" t="s">
        <v>244</v>
      </c>
      <c r="H471" s="52">
        <v>1</v>
      </c>
    </row>
    <row r="472" spans="1:8" ht="14.4" x14ac:dyDescent="0.3">
      <c r="A472" s="50">
        <v>1729</v>
      </c>
      <c r="B472" s="51">
        <v>20001104088</v>
      </c>
      <c r="C472" s="52" t="s">
        <v>1801</v>
      </c>
      <c r="D472" s="52" t="s">
        <v>1221</v>
      </c>
      <c r="E472" s="52" t="s">
        <v>1639</v>
      </c>
      <c r="F472" s="52" t="s">
        <v>620</v>
      </c>
      <c r="G472" s="52" t="s">
        <v>213</v>
      </c>
      <c r="H472" s="52">
        <v>0.5</v>
      </c>
    </row>
    <row r="473" spans="1:8" ht="14.4" x14ac:dyDescent="0.3">
      <c r="A473" s="50">
        <v>1730</v>
      </c>
      <c r="B473" s="51">
        <v>20001052061</v>
      </c>
      <c r="C473" s="52" t="s">
        <v>1449</v>
      </c>
      <c r="D473" s="52" t="s">
        <v>1450</v>
      </c>
      <c r="E473" s="52" t="s">
        <v>3416</v>
      </c>
      <c r="F473" s="52" t="s">
        <v>1441</v>
      </c>
      <c r="G473" s="52" t="s">
        <v>244</v>
      </c>
      <c r="H473" s="52">
        <v>1</v>
      </c>
    </row>
    <row r="474" spans="1:8" ht="14.4" x14ac:dyDescent="0.3">
      <c r="A474" s="50">
        <v>1731</v>
      </c>
      <c r="B474" s="51">
        <v>20000570009</v>
      </c>
      <c r="C474" s="52" t="s">
        <v>1037</v>
      </c>
      <c r="D474" s="52" t="s">
        <v>1038</v>
      </c>
      <c r="E474" s="52" t="s">
        <v>3415</v>
      </c>
      <c r="F474" s="52" t="s">
        <v>618</v>
      </c>
      <c r="G474" s="52" t="s">
        <v>244</v>
      </c>
      <c r="H474" s="52">
        <v>1</v>
      </c>
    </row>
    <row r="475" spans="1:8" ht="14.4" x14ac:dyDescent="0.3">
      <c r="A475" s="50">
        <v>1732</v>
      </c>
      <c r="B475" s="51">
        <v>20000570009</v>
      </c>
      <c r="C475" s="52" t="s">
        <v>661</v>
      </c>
      <c r="D475" s="52" t="s">
        <v>852</v>
      </c>
      <c r="E475" s="52" t="s">
        <v>3415</v>
      </c>
      <c r="F475" s="52" t="s">
        <v>618</v>
      </c>
      <c r="G475" s="52" t="s">
        <v>244</v>
      </c>
      <c r="H475" s="52">
        <v>1</v>
      </c>
    </row>
    <row r="476" spans="1:8" ht="14.4" x14ac:dyDescent="0.3">
      <c r="A476" s="50">
        <v>1733</v>
      </c>
      <c r="B476" s="51">
        <v>20000570123</v>
      </c>
      <c r="C476" s="52" t="s">
        <v>1102</v>
      </c>
      <c r="D476" s="52" t="s">
        <v>710</v>
      </c>
      <c r="E476" s="52" t="s">
        <v>1034</v>
      </c>
      <c r="F476" s="52" t="s">
        <v>620</v>
      </c>
      <c r="G476" s="52" t="s">
        <v>244</v>
      </c>
      <c r="H476" s="52">
        <v>0.8</v>
      </c>
    </row>
    <row r="477" spans="1:8" ht="14.4" x14ac:dyDescent="0.3">
      <c r="A477" s="50">
        <v>1734</v>
      </c>
      <c r="B477" s="51">
        <v>20001052065</v>
      </c>
      <c r="C477" s="52" t="s">
        <v>1491</v>
      </c>
      <c r="D477" s="52" t="s">
        <v>1492</v>
      </c>
      <c r="E477" s="52" t="s">
        <v>1326</v>
      </c>
      <c r="F477" s="52" t="s">
        <v>628</v>
      </c>
      <c r="G477" s="52" t="s">
        <v>244</v>
      </c>
      <c r="H477" s="52">
        <v>1</v>
      </c>
    </row>
    <row r="478" spans="1:8" ht="14.4" x14ac:dyDescent="0.3">
      <c r="A478" s="50">
        <v>1735</v>
      </c>
      <c r="B478" s="51">
        <v>20001054085</v>
      </c>
      <c r="C478" s="52" t="s">
        <v>1565</v>
      </c>
      <c r="D478" s="52" t="s">
        <v>1566</v>
      </c>
      <c r="E478" s="52" t="s">
        <v>3399</v>
      </c>
      <c r="F478" s="52" t="s">
        <v>620</v>
      </c>
      <c r="G478" s="52" t="s">
        <v>244</v>
      </c>
      <c r="H478" s="52">
        <v>0.6</v>
      </c>
    </row>
    <row r="479" spans="1:8" ht="14.4" x14ac:dyDescent="0.3">
      <c r="A479" s="50">
        <v>1736</v>
      </c>
      <c r="B479" s="51">
        <v>20000680024</v>
      </c>
      <c r="C479" s="52" t="s">
        <v>1238</v>
      </c>
      <c r="D479" s="52" t="s">
        <v>1239</v>
      </c>
      <c r="E479" s="52" t="s">
        <v>1235</v>
      </c>
      <c r="F479" s="52" t="s">
        <v>618</v>
      </c>
      <c r="G479" s="52" t="s">
        <v>244</v>
      </c>
      <c r="H479" s="52">
        <v>1</v>
      </c>
    </row>
    <row r="480" spans="1:8" ht="14.4" x14ac:dyDescent="0.3">
      <c r="A480" s="50">
        <v>1737</v>
      </c>
      <c r="B480" s="51">
        <v>20000650027</v>
      </c>
      <c r="C480" s="52" t="s">
        <v>1169</v>
      </c>
      <c r="D480" s="52" t="s">
        <v>1170</v>
      </c>
      <c r="E480" s="52" t="s">
        <v>3411</v>
      </c>
      <c r="F480" s="52" t="s">
        <v>618</v>
      </c>
      <c r="G480" s="52" t="s">
        <v>244</v>
      </c>
      <c r="H480" s="52">
        <v>1</v>
      </c>
    </row>
    <row r="481" spans="1:8" ht="14.4" x14ac:dyDescent="0.3">
      <c r="A481" s="50">
        <v>1738</v>
      </c>
      <c r="B481" s="51">
        <v>20001052065</v>
      </c>
      <c r="C481" s="52" t="s">
        <v>2568</v>
      </c>
      <c r="D481" s="52" t="s">
        <v>1465</v>
      </c>
      <c r="E481" s="52" t="s">
        <v>1326</v>
      </c>
      <c r="F481" s="52" t="s">
        <v>628</v>
      </c>
      <c r="G481" s="52" t="s">
        <v>213</v>
      </c>
      <c r="H481" s="52">
        <v>1</v>
      </c>
    </row>
    <row r="482" spans="1:8" ht="14.4" x14ac:dyDescent="0.3">
      <c r="A482" s="50">
        <v>1739</v>
      </c>
      <c r="B482" s="51">
        <v>20021052108</v>
      </c>
      <c r="C482" s="52" t="s">
        <v>1464</v>
      </c>
      <c r="D482" s="52" t="s">
        <v>716</v>
      </c>
      <c r="E482" s="52" t="s">
        <v>2289</v>
      </c>
      <c r="F482" s="52" t="s">
        <v>628</v>
      </c>
      <c r="G482" s="52" t="s">
        <v>244</v>
      </c>
      <c r="H482" s="52">
        <v>1</v>
      </c>
    </row>
    <row r="483" spans="1:8" ht="14.4" x14ac:dyDescent="0.3">
      <c r="A483" s="50">
        <v>1740</v>
      </c>
      <c r="B483" s="51">
        <v>20020120015</v>
      </c>
      <c r="C483" s="52" t="s">
        <v>2279</v>
      </c>
      <c r="D483" s="52" t="s">
        <v>1750</v>
      </c>
      <c r="E483" s="52" t="s">
        <v>2237</v>
      </c>
      <c r="F483" s="52" t="s">
        <v>618</v>
      </c>
      <c r="G483" s="52" t="s">
        <v>213</v>
      </c>
      <c r="H483" s="52">
        <v>1</v>
      </c>
    </row>
    <row r="484" spans="1:8" ht="14.4" x14ac:dyDescent="0.3">
      <c r="A484" s="50">
        <v>1741</v>
      </c>
      <c r="B484" s="51">
        <v>20009001106</v>
      </c>
      <c r="C484" s="52" t="s">
        <v>2034</v>
      </c>
      <c r="D484" s="52" t="s">
        <v>2035</v>
      </c>
      <c r="E484" s="52" t="s">
        <v>1970</v>
      </c>
      <c r="F484" s="52" t="s">
        <v>1428</v>
      </c>
      <c r="G484" s="52" t="s">
        <v>213</v>
      </c>
      <c r="H484" s="52">
        <v>1</v>
      </c>
    </row>
    <row r="485" spans="1:8" ht="14.4" x14ac:dyDescent="0.3">
      <c r="A485" s="50">
        <v>1742</v>
      </c>
      <c r="B485" s="51">
        <v>20001104088</v>
      </c>
      <c r="C485" s="52" t="s">
        <v>1808</v>
      </c>
      <c r="D485" s="52" t="s">
        <v>974</v>
      </c>
      <c r="E485" s="52" t="s">
        <v>3417</v>
      </c>
      <c r="F485" s="52" t="s">
        <v>620</v>
      </c>
      <c r="G485" s="52" t="s">
        <v>244</v>
      </c>
      <c r="H485" s="52">
        <v>1</v>
      </c>
    </row>
    <row r="486" spans="1:8" ht="14.4" x14ac:dyDescent="0.3">
      <c r="A486" s="50">
        <v>1743</v>
      </c>
      <c r="B486" s="51">
        <v>20001104092</v>
      </c>
      <c r="C486" s="52" t="s">
        <v>1103</v>
      </c>
      <c r="D486" s="52" t="s">
        <v>855</v>
      </c>
      <c r="E486" s="52" t="s">
        <v>3418</v>
      </c>
      <c r="F486" s="52" t="s">
        <v>1086</v>
      </c>
      <c r="G486" s="52" t="s">
        <v>244</v>
      </c>
      <c r="H486" s="52">
        <v>1</v>
      </c>
    </row>
    <row r="487" spans="1:8" ht="14.4" x14ac:dyDescent="0.3">
      <c r="A487" s="50">
        <v>1744</v>
      </c>
      <c r="B487" s="51">
        <v>20000630026</v>
      </c>
      <c r="C487" s="52" t="s">
        <v>1120</v>
      </c>
      <c r="D487" s="52" t="s">
        <v>1121</v>
      </c>
      <c r="E487" s="52" t="s">
        <v>1122</v>
      </c>
      <c r="F487" s="52" t="s">
        <v>618</v>
      </c>
      <c r="G487" s="52" t="s">
        <v>244</v>
      </c>
      <c r="H487" s="52">
        <v>1</v>
      </c>
    </row>
    <row r="488" spans="1:8" ht="14.4" x14ac:dyDescent="0.3">
      <c r="A488" s="50">
        <v>1745</v>
      </c>
      <c r="B488" s="51">
        <v>20000630026</v>
      </c>
      <c r="C488" s="52" t="s">
        <v>1138</v>
      </c>
      <c r="D488" s="52" t="s">
        <v>1139</v>
      </c>
      <c r="E488" s="52" t="s">
        <v>1140</v>
      </c>
      <c r="F488" s="52" t="s">
        <v>618</v>
      </c>
      <c r="G488" s="52" t="s">
        <v>244</v>
      </c>
      <c r="H488" s="52">
        <v>1</v>
      </c>
    </row>
    <row r="489" spans="1:8" ht="14.4" x14ac:dyDescent="0.3">
      <c r="A489" s="50">
        <v>1746</v>
      </c>
      <c r="B489" s="51">
        <v>20000650027</v>
      </c>
      <c r="C489" s="52" t="s">
        <v>1161</v>
      </c>
      <c r="D489" s="52" t="s">
        <v>1065</v>
      </c>
      <c r="E489" s="52" t="s">
        <v>1162</v>
      </c>
      <c r="F489" s="52" t="s">
        <v>618</v>
      </c>
      <c r="G489" s="52" t="s">
        <v>244</v>
      </c>
      <c r="H489" s="52">
        <v>1</v>
      </c>
    </row>
    <row r="490" spans="1:8" ht="14.4" x14ac:dyDescent="0.3">
      <c r="A490" s="50">
        <v>1747</v>
      </c>
      <c r="B490" s="51">
        <v>20001104092</v>
      </c>
      <c r="C490" s="52" t="s">
        <v>1805</v>
      </c>
      <c r="D490" s="52" t="s">
        <v>844</v>
      </c>
      <c r="E490" s="52" t="s">
        <v>3410</v>
      </c>
      <c r="F490" s="52" t="s">
        <v>1086</v>
      </c>
      <c r="G490" s="52" t="s">
        <v>244</v>
      </c>
      <c r="H490" s="52">
        <v>1</v>
      </c>
    </row>
    <row r="491" spans="1:8" ht="14.4" x14ac:dyDescent="0.3">
      <c r="A491" s="50">
        <v>1748</v>
      </c>
      <c r="B491" s="51">
        <v>20020120015</v>
      </c>
      <c r="C491" s="52" t="s">
        <v>1041</v>
      </c>
      <c r="D491" s="52" t="s">
        <v>666</v>
      </c>
      <c r="E491" s="52" t="s">
        <v>3419</v>
      </c>
      <c r="F491" s="52" t="s">
        <v>618</v>
      </c>
      <c r="G491" s="52" t="s">
        <v>244</v>
      </c>
      <c r="H491" s="52">
        <v>1</v>
      </c>
    </row>
    <row r="492" spans="1:8" ht="14.4" x14ac:dyDescent="0.3">
      <c r="A492" s="50">
        <v>1749</v>
      </c>
      <c r="B492" s="51">
        <v>20009001107</v>
      </c>
      <c r="C492" s="52" t="s">
        <v>2036</v>
      </c>
      <c r="D492" s="52" t="s">
        <v>1282</v>
      </c>
      <c r="E492" s="52" t="s">
        <v>1970</v>
      </c>
      <c r="F492" s="52" t="s">
        <v>1441</v>
      </c>
      <c r="G492" s="52" t="s">
        <v>213</v>
      </c>
      <c r="H492" s="52">
        <v>1</v>
      </c>
    </row>
    <row r="493" spans="1:8" ht="14.4" x14ac:dyDescent="0.3">
      <c r="A493" s="50">
        <v>1750</v>
      </c>
      <c r="B493" s="51">
        <v>20001052065</v>
      </c>
      <c r="C493" s="52" t="s">
        <v>1483</v>
      </c>
      <c r="D493" s="52" t="s">
        <v>844</v>
      </c>
      <c r="E493" s="52" t="s">
        <v>1326</v>
      </c>
      <c r="F493" s="52" t="s">
        <v>628</v>
      </c>
      <c r="G493" s="52" t="s">
        <v>244</v>
      </c>
      <c r="H493" s="52">
        <v>1</v>
      </c>
    </row>
    <row r="494" spans="1:8" ht="14.4" x14ac:dyDescent="0.3">
      <c r="A494" s="50">
        <v>1751</v>
      </c>
      <c r="B494" s="51">
        <v>20009001108</v>
      </c>
      <c r="C494" s="52" t="s">
        <v>2063</v>
      </c>
      <c r="D494" s="52" t="s">
        <v>1740</v>
      </c>
      <c r="E494" s="52" t="s">
        <v>1970</v>
      </c>
      <c r="F494" s="52" t="s">
        <v>628</v>
      </c>
      <c r="G494" s="52" t="s">
        <v>244</v>
      </c>
      <c r="H494" s="52">
        <v>1</v>
      </c>
    </row>
    <row r="495" spans="1:8" ht="14.4" x14ac:dyDescent="0.3">
      <c r="A495" s="50">
        <v>1752</v>
      </c>
      <c r="B495" s="51">
        <v>20001102068</v>
      </c>
      <c r="C495" s="52" t="s">
        <v>1741</v>
      </c>
      <c r="D495" s="52" t="s">
        <v>1742</v>
      </c>
      <c r="E495" s="52" t="s">
        <v>1652</v>
      </c>
      <c r="F495" s="52" t="s">
        <v>628</v>
      </c>
      <c r="G495" s="52" t="s">
        <v>244</v>
      </c>
      <c r="H495" s="52">
        <v>1</v>
      </c>
    </row>
    <row r="496" spans="1:8" ht="14.4" x14ac:dyDescent="0.3">
      <c r="A496" s="50">
        <v>1753</v>
      </c>
      <c r="B496" s="51">
        <v>20000570122</v>
      </c>
      <c r="C496" s="52" t="s">
        <v>1060</v>
      </c>
      <c r="D496" s="52" t="s">
        <v>988</v>
      </c>
      <c r="E496" s="52" t="s">
        <v>3138</v>
      </c>
      <c r="F496" s="52" t="s">
        <v>628</v>
      </c>
      <c r="G496" s="52" t="s">
        <v>244</v>
      </c>
      <c r="H496" s="52">
        <v>1</v>
      </c>
    </row>
    <row r="497" spans="1:8" ht="14.4" x14ac:dyDescent="0.3">
      <c r="A497" s="50">
        <v>1754</v>
      </c>
      <c r="B497" s="51">
        <v>20000570122</v>
      </c>
      <c r="C497" s="52" t="s">
        <v>1074</v>
      </c>
      <c r="D497" s="52" t="s">
        <v>729</v>
      </c>
      <c r="E497" s="52" t="s">
        <v>3414</v>
      </c>
      <c r="F497" s="52" t="s">
        <v>628</v>
      </c>
      <c r="G497" s="52" t="s">
        <v>244</v>
      </c>
      <c r="H497" s="52">
        <v>1</v>
      </c>
    </row>
    <row r="498" spans="1:8" ht="14.4" x14ac:dyDescent="0.3">
      <c r="A498" s="50">
        <v>1755</v>
      </c>
      <c r="B498" s="51">
        <v>20001102068</v>
      </c>
      <c r="C498" s="52" t="s">
        <v>1762</v>
      </c>
      <c r="D498" s="52" t="s">
        <v>1763</v>
      </c>
      <c r="E498" s="52" t="s">
        <v>3420</v>
      </c>
      <c r="F498" s="52" t="s">
        <v>628</v>
      </c>
      <c r="G498" s="52" t="s">
        <v>244</v>
      </c>
      <c r="H498" s="52">
        <v>1</v>
      </c>
    </row>
    <row r="499" spans="1:8" ht="14.4" x14ac:dyDescent="0.3">
      <c r="A499" s="50">
        <v>1756</v>
      </c>
      <c r="B499" s="51">
        <v>20019110095</v>
      </c>
      <c r="C499" s="52" t="s">
        <v>2176</v>
      </c>
      <c r="D499" s="52" t="s">
        <v>1065</v>
      </c>
      <c r="E499" s="52" t="s">
        <v>1745</v>
      </c>
      <c r="F499" s="52" t="s">
        <v>628</v>
      </c>
      <c r="G499" s="52" t="s">
        <v>244</v>
      </c>
      <c r="H499" s="52">
        <v>1</v>
      </c>
    </row>
    <row r="500" spans="1:8" ht="14.4" x14ac:dyDescent="0.3">
      <c r="A500" s="50">
        <v>1758</v>
      </c>
      <c r="B500" s="51">
        <v>20001052069</v>
      </c>
      <c r="C500" s="52" t="s">
        <v>1541</v>
      </c>
      <c r="D500" s="52" t="s">
        <v>908</v>
      </c>
      <c r="E500" s="52" t="s">
        <v>1326</v>
      </c>
      <c r="F500" s="52" t="s">
        <v>1532</v>
      </c>
      <c r="G500" s="52" t="s">
        <v>244</v>
      </c>
      <c r="H500" s="52">
        <v>1</v>
      </c>
    </row>
    <row r="501" spans="1:8" ht="14.4" x14ac:dyDescent="0.3">
      <c r="A501" s="50">
        <v>1759</v>
      </c>
      <c r="B501" s="51">
        <v>20000110105</v>
      </c>
      <c r="C501" s="52" t="s">
        <v>645</v>
      </c>
      <c r="D501" s="52" t="s">
        <v>646</v>
      </c>
      <c r="E501" s="52" t="s">
        <v>3407</v>
      </c>
      <c r="F501" s="52" t="s">
        <v>628</v>
      </c>
      <c r="G501" s="52" t="s">
        <v>244</v>
      </c>
      <c r="H501" s="52">
        <v>1</v>
      </c>
    </row>
    <row r="502" spans="1:8" ht="14.4" x14ac:dyDescent="0.3">
      <c r="A502" s="50">
        <v>1760</v>
      </c>
      <c r="B502" s="51">
        <v>20000520019</v>
      </c>
      <c r="C502" s="52" t="s">
        <v>987</v>
      </c>
      <c r="D502" s="52" t="s">
        <v>988</v>
      </c>
      <c r="E502" s="52" t="s">
        <v>989</v>
      </c>
      <c r="F502" s="52" t="s">
        <v>618</v>
      </c>
      <c r="G502" s="52" t="s">
        <v>244</v>
      </c>
      <c r="H502" s="52">
        <v>1</v>
      </c>
    </row>
    <row r="503" spans="1:8" ht="14.4" x14ac:dyDescent="0.3">
      <c r="A503" s="50">
        <v>1761</v>
      </c>
      <c r="B503" s="51">
        <v>20009001108</v>
      </c>
      <c r="C503" s="52" t="s">
        <v>2056</v>
      </c>
      <c r="D503" s="52" t="s">
        <v>2020</v>
      </c>
      <c r="E503" s="52" t="s">
        <v>3421</v>
      </c>
      <c r="F503" s="52" t="s">
        <v>628</v>
      </c>
      <c r="G503" s="52" t="s">
        <v>244</v>
      </c>
      <c r="H503" s="52">
        <v>1</v>
      </c>
    </row>
    <row r="504" spans="1:8" ht="14.4" x14ac:dyDescent="0.3">
      <c r="A504" s="50">
        <v>1762</v>
      </c>
      <c r="B504" s="51">
        <v>20001052065</v>
      </c>
      <c r="C504" s="52" t="s">
        <v>1456</v>
      </c>
      <c r="D504" s="52" t="s">
        <v>964</v>
      </c>
      <c r="E504" s="52" t="s">
        <v>1326</v>
      </c>
      <c r="F504" s="52" t="s">
        <v>628</v>
      </c>
      <c r="G504" s="52" t="s">
        <v>213</v>
      </c>
      <c r="H504" s="52">
        <v>1</v>
      </c>
    </row>
    <row r="505" spans="1:8" ht="14.4" x14ac:dyDescent="0.3">
      <c r="A505" s="50">
        <v>1763</v>
      </c>
      <c r="B505" s="51">
        <v>20009001107</v>
      </c>
      <c r="C505" s="52" t="s">
        <v>2040</v>
      </c>
      <c r="D505" s="52" t="s">
        <v>2020</v>
      </c>
      <c r="E505" s="52" t="s">
        <v>1970</v>
      </c>
      <c r="F505" s="52" t="s">
        <v>1441</v>
      </c>
      <c r="G505" s="52" t="s">
        <v>244</v>
      </c>
      <c r="H505" s="52">
        <v>1</v>
      </c>
    </row>
    <row r="506" spans="1:8" ht="14.4" x14ac:dyDescent="0.3">
      <c r="A506" s="50">
        <v>1764</v>
      </c>
      <c r="B506" s="51">
        <v>20000650027</v>
      </c>
      <c r="C506" s="52" t="s">
        <v>1180</v>
      </c>
      <c r="D506" s="52" t="s">
        <v>884</v>
      </c>
      <c r="E506" s="52" t="s">
        <v>3395</v>
      </c>
      <c r="F506" s="52" t="s">
        <v>618</v>
      </c>
      <c r="G506" s="52" t="s">
        <v>244</v>
      </c>
      <c r="H506" s="52">
        <v>1</v>
      </c>
    </row>
    <row r="507" spans="1:8" ht="14.4" x14ac:dyDescent="0.3">
      <c r="A507" s="50">
        <v>1765</v>
      </c>
      <c r="B507" s="51">
        <v>20009001109</v>
      </c>
      <c r="C507" s="52" t="s">
        <v>2111</v>
      </c>
      <c r="D507" s="52" t="s">
        <v>1559</v>
      </c>
      <c r="E507" s="52" t="s">
        <v>1970</v>
      </c>
      <c r="F507" s="52" t="s">
        <v>1532</v>
      </c>
      <c r="G507" s="52" t="s">
        <v>213</v>
      </c>
      <c r="H507" s="52">
        <v>1</v>
      </c>
    </row>
    <row r="508" spans="1:8" ht="14.4" x14ac:dyDescent="0.3">
      <c r="A508" s="50">
        <v>1766</v>
      </c>
      <c r="B508" s="51">
        <v>20001140004</v>
      </c>
      <c r="C508" s="52" t="s">
        <v>1150</v>
      </c>
      <c r="D508" s="52" t="s">
        <v>1861</v>
      </c>
      <c r="E508" s="52" t="s">
        <v>3307</v>
      </c>
      <c r="F508" s="52" t="s">
        <v>618</v>
      </c>
      <c r="G508" s="52" t="s">
        <v>213</v>
      </c>
      <c r="H508" s="52">
        <v>1</v>
      </c>
    </row>
    <row r="509" spans="1:8" ht="14.4" x14ac:dyDescent="0.3">
      <c r="A509" s="50">
        <v>1767</v>
      </c>
      <c r="B509" s="51">
        <v>20020054090</v>
      </c>
      <c r="C509" s="52" t="s">
        <v>2232</v>
      </c>
      <c r="D509" s="52" t="s">
        <v>936</v>
      </c>
      <c r="E509" s="52" t="s">
        <v>2211</v>
      </c>
      <c r="F509" s="52" t="s">
        <v>1086</v>
      </c>
      <c r="G509" s="52" t="s">
        <v>213</v>
      </c>
      <c r="H509" s="52">
        <v>1</v>
      </c>
    </row>
    <row r="510" spans="1:8" ht="14.4" x14ac:dyDescent="0.3">
      <c r="A510" s="50">
        <v>1769</v>
      </c>
      <c r="B510" s="51">
        <v>20001140004</v>
      </c>
      <c r="C510" s="52" t="s">
        <v>3422</v>
      </c>
      <c r="D510" s="52" t="s">
        <v>1855</v>
      </c>
      <c r="E510" s="52" t="s">
        <v>1845</v>
      </c>
      <c r="F510" s="52" t="s">
        <v>618</v>
      </c>
      <c r="G510" s="52" t="s">
        <v>244</v>
      </c>
      <c r="H510" s="52">
        <v>1</v>
      </c>
    </row>
    <row r="511" spans="1:8" ht="14.4" x14ac:dyDescent="0.3">
      <c r="A511" s="50">
        <v>1770</v>
      </c>
      <c r="B511" s="51">
        <v>20009001106</v>
      </c>
      <c r="C511" s="52" t="s">
        <v>2026</v>
      </c>
      <c r="D511" s="52" t="s">
        <v>1078</v>
      </c>
      <c r="E511" s="52" t="s">
        <v>1970</v>
      </c>
      <c r="F511" s="52" t="s">
        <v>1428</v>
      </c>
      <c r="G511" s="52" t="s">
        <v>213</v>
      </c>
      <c r="H511" s="52">
        <v>1</v>
      </c>
    </row>
    <row r="512" spans="1:8" ht="14.4" x14ac:dyDescent="0.3">
      <c r="A512" s="50">
        <v>1772</v>
      </c>
      <c r="B512" s="51">
        <v>20000110105</v>
      </c>
      <c r="C512" s="52" t="s">
        <v>629</v>
      </c>
      <c r="D512" s="52" t="s">
        <v>630</v>
      </c>
      <c r="E512" s="52" t="s">
        <v>3407</v>
      </c>
      <c r="F512" s="52" t="s">
        <v>628</v>
      </c>
      <c r="G512" s="52" t="s">
        <v>244</v>
      </c>
      <c r="H512" s="52">
        <v>1</v>
      </c>
    </row>
    <row r="513" spans="1:8" ht="14.4" x14ac:dyDescent="0.3">
      <c r="A513" s="50">
        <v>1773</v>
      </c>
      <c r="B513" s="51">
        <v>20060110034</v>
      </c>
      <c r="C513" s="52" t="s">
        <v>1521</v>
      </c>
      <c r="D513" s="52" t="s">
        <v>2364</v>
      </c>
      <c r="E513" s="52" t="s">
        <v>3185</v>
      </c>
      <c r="F513" s="52" t="s">
        <v>618</v>
      </c>
      <c r="G513" s="52" t="s">
        <v>213</v>
      </c>
      <c r="H513" s="52">
        <v>1</v>
      </c>
    </row>
    <row r="514" spans="1:8" ht="14.4" x14ac:dyDescent="0.3">
      <c r="A514" s="36">
        <v>1774</v>
      </c>
      <c r="B514" s="36">
        <v>20001104088</v>
      </c>
      <c r="C514" s="36" t="s">
        <v>1793</v>
      </c>
      <c r="D514" s="36" t="s">
        <v>945</v>
      </c>
      <c r="E514" s="36" t="s">
        <v>1794</v>
      </c>
      <c r="F514" s="36" t="s">
        <v>620</v>
      </c>
      <c r="G514" s="36" t="s">
        <v>244</v>
      </c>
      <c r="H514" s="36">
        <v>1</v>
      </c>
    </row>
    <row r="515" spans="1:8" ht="14.4" x14ac:dyDescent="0.3">
      <c r="A515" s="50">
        <v>1775</v>
      </c>
      <c r="B515" s="51">
        <v>20009001113</v>
      </c>
      <c r="C515" s="52" t="s">
        <v>2172</v>
      </c>
      <c r="D515" s="52" t="s">
        <v>870</v>
      </c>
      <c r="E515" s="52" t="s">
        <v>1988</v>
      </c>
      <c r="F515" s="52" t="s">
        <v>1086</v>
      </c>
      <c r="G515" s="52" t="s">
        <v>213</v>
      </c>
      <c r="H515" s="52">
        <v>1</v>
      </c>
    </row>
    <row r="516" spans="1:8" ht="14.4" x14ac:dyDescent="0.3">
      <c r="A516" s="50">
        <v>1776</v>
      </c>
      <c r="B516" s="51">
        <v>20001104092</v>
      </c>
      <c r="C516" s="52" t="s">
        <v>1821</v>
      </c>
      <c r="D516" s="52" t="s">
        <v>1822</v>
      </c>
      <c r="E516" s="52" t="s">
        <v>3405</v>
      </c>
      <c r="F516" s="52" t="s">
        <v>1086</v>
      </c>
      <c r="G516" s="52" t="s">
        <v>244</v>
      </c>
      <c r="H516" s="52">
        <v>1</v>
      </c>
    </row>
    <row r="517" spans="1:8" ht="14.4" x14ac:dyDescent="0.3">
      <c r="A517" s="50">
        <v>1777</v>
      </c>
      <c r="B517" s="51">
        <v>20009001107</v>
      </c>
      <c r="C517" s="52" t="s">
        <v>1164</v>
      </c>
      <c r="D517" s="52" t="s">
        <v>1279</v>
      </c>
      <c r="E517" s="52" t="s">
        <v>1988</v>
      </c>
      <c r="F517" s="52" t="s">
        <v>1441</v>
      </c>
      <c r="G517" s="52" t="s">
        <v>213</v>
      </c>
      <c r="H517" s="52">
        <v>1</v>
      </c>
    </row>
    <row r="518" spans="1:8" ht="14.4" x14ac:dyDescent="0.3">
      <c r="A518" s="50">
        <v>1778</v>
      </c>
      <c r="B518" s="51">
        <v>20020120015</v>
      </c>
      <c r="C518" s="52" t="s">
        <v>2281</v>
      </c>
      <c r="D518" s="52" t="s">
        <v>2282</v>
      </c>
      <c r="E518" s="52" t="s">
        <v>2237</v>
      </c>
      <c r="F518" s="52" t="s">
        <v>618</v>
      </c>
      <c r="G518" s="52" t="s">
        <v>213</v>
      </c>
      <c r="H518" s="52">
        <v>1</v>
      </c>
    </row>
    <row r="519" spans="1:8" ht="14.4" x14ac:dyDescent="0.3">
      <c r="A519" s="50">
        <v>1779</v>
      </c>
      <c r="B519" s="51">
        <v>20000310010</v>
      </c>
      <c r="C519" s="52" t="s">
        <v>730</v>
      </c>
      <c r="D519" s="52" t="s">
        <v>676</v>
      </c>
      <c r="E519" s="52" t="s">
        <v>3402</v>
      </c>
      <c r="F519" s="52" t="s">
        <v>618</v>
      </c>
      <c r="G519" s="52" t="s">
        <v>244</v>
      </c>
      <c r="H519" s="52">
        <v>1</v>
      </c>
    </row>
    <row r="520" spans="1:8" ht="14.4" x14ac:dyDescent="0.3">
      <c r="A520" s="50">
        <v>1780</v>
      </c>
      <c r="B520" s="51">
        <v>20000630026</v>
      </c>
      <c r="C520" s="52" t="s">
        <v>1117</v>
      </c>
      <c r="D520" s="52" t="s">
        <v>672</v>
      </c>
      <c r="E520" s="52" t="s">
        <v>1118</v>
      </c>
      <c r="F520" s="52" t="s">
        <v>618</v>
      </c>
      <c r="G520" s="52" t="s">
        <v>244</v>
      </c>
      <c r="H520" s="52">
        <v>1</v>
      </c>
    </row>
    <row r="521" spans="1:8" ht="14.4" x14ac:dyDescent="0.3">
      <c r="A521" s="50">
        <v>1781</v>
      </c>
      <c r="B521" s="51">
        <v>20001102060</v>
      </c>
      <c r="C521" s="52" t="s">
        <v>1695</v>
      </c>
      <c r="D521" s="52" t="s">
        <v>1696</v>
      </c>
      <c r="E521" s="52" t="s">
        <v>1697</v>
      </c>
      <c r="F521" s="52" t="s">
        <v>1428</v>
      </c>
      <c r="G521" s="52" t="s">
        <v>244</v>
      </c>
      <c r="H521" s="52">
        <v>1</v>
      </c>
    </row>
    <row r="522" spans="1:8" ht="14.4" x14ac:dyDescent="0.3">
      <c r="A522" s="50">
        <v>1782</v>
      </c>
      <c r="B522" s="51">
        <v>20009001112</v>
      </c>
      <c r="C522" s="52" t="s">
        <v>2150</v>
      </c>
      <c r="D522" s="52" t="s">
        <v>654</v>
      </c>
      <c r="E522" s="52" t="s">
        <v>3423</v>
      </c>
      <c r="F522" s="52" t="s">
        <v>620</v>
      </c>
      <c r="G522" s="52" t="s">
        <v>244</v>
      </c>
      <c r="H522" s="52">
        <v>1</v>
      </c>
    </row>
    <row r="523" spans="1:8" ht="14.4" x14ac:dyDescent="0.3">
      <c r="A523" s="50">
        <v>1783</v>
      </c>
      <c r="B523" s="51">
        <v>20000110106</v>
      </c>
      <c r="C523" s="52" t="s">
        <v>653</v>
      </c>
      <c r="D523" s="52" t="s">
        <v>654</v>
      </c>
      <c r="E523" s="52" t="s">
        <v>3424</v>
      </c>
      <c r="F523" s="52" t="s">
        <v>620</v>
      </c>
      <c r="G523" s="52" t="s">
        <v>244</v>
      </c>
      <c r="H523" s="52">
        <v>1</v>
      </c>
    </row>
    <row r="524" spans="1:8" ht="14.4" x14ac:dyDescent="0.3">
      <c r="A524" s="50">
        <v>1784</v>
      </c>
      <c r="B524" s="51">
        <v>20000310010</v>
      </c>
      <c r="C524" s="52" t="s">
        <v>689</v>
      </c>
      <c r="D524" s="52" t="s">
        <v>690</v>
      </c>
      <c r="E524" s="52" t="s">
        <v>2922</v>
      </c>
      <c r="F524" s="52" t="s">
        <v>664</v>
      </c>
      <c r="G524" s="52" t="s">
        <v>145</v>
      </c>
      <c r="H524" s="52">
        <v>1</v>
      </c>
    </row>
    <row r="525" spans="1:8" ht="14.4" x14ac:dyDescent="0.3">
      <c r="A525" s="50">
        <v>1785</v>
      </c>
      <c r="B525" s="51">
        <v>20000310010</v>
      </c>
      <c r="C525" s="52" t="s">
        <v>659</v>
      </c>
      <c r="D525" s="52" t="s">
        <v>660</v>
      </c>
      <c r="E525" s="52" t="s">
        <v>3402</v>
      </c>
      <c r="F525" s="52" t="s">
        <v>618</v>
      </c>
      <c r="G525" s="52" t="s">
        <v>244</v>
      </c>
      <c r="H525" s="52">
        <v>1</v>
      </c>
    </row>
    <row r="526" spans="1:8" ht="14.4" x14ac:dyDescent="0.3">
      <c r="A526" s="50">
        <v>1786</v>
      </c>
      <c r="B526" s="51">
        <v>20020052066</v>
      </c>
      <c r="C526" s="52" t="s">
        <v>2200</v>
      </c>
      <c r="D526" s="52" t="s">
        <v>2219</v>
      </c>
      <c r="E526" s="52" t="s">
        <v>2209</v>
      </c>
      <c r="F526" s="52" t="s">
        <v>628</v>
      </c>
      <c r="G526" s="52" t="s">
        <v>244</v>
      </c>
      <c r="H526" s="52">
        <v>1</v>
      </c>
    </row>
    <row r="527" spans="1:8" ht="14.4" x14ac:dyDescent="0.3">
      <c r="A527" s="50">
        <v>1787</v>
      </c>
      <c r="B527" s="51">
        <v>20020092059</v>
      </c>
      <c r="C527" s="52" t="s">
        <v>1454</v>
      </c>
      <c r="D527" s="52" t="s">
        <v>1783</v>
      </c>
      <c r="E527" s="52" t="s">
        <v>3425</v>
      </c>
      <c r="F527" s="52" t="s">
        <v>1428</v>
      </c>
      <c r="G527" s="52" t="s">
        <v>244</v>
      </c>
      <c r="H527" s="52">
        <v>1</v>
      </c>
    </row>
    <row r="528" spans="1:8" ht="14.4" x14ac:dyDescent="0.3">
      <c r="A528" s="50">
        <v>1788</v>
      </c>
      <c r="B528" s="51">
        <v>20001102068</v>
      </c>
      <c r="C528" s="52" t="s">
        <v>1719</v>
      </c>
      <c r="D528" s="52" t="s">
        <v>1146</v>
      </c>
      <c r="E528" s="52" t="s">
        <v>1720</v>
      </c>
      <c r="F528" s="52" t="s">
        <v>628</v>
      </c>
      <c r="G528" s="52" t="s">
        <v>244</v>
      </c>
      <c r="H528" s="52">
        <v>1</v>
      </c>
    </row>
    <row r="529" spans="1:8" ht="14.4" x14ac:dyDescent="0.3">
      <c r="A529" s="50">
        <v>1789</v>
      </c>
      <c r="B529" s="51">
        <v>20000670023</v>
      </c>
      <c r="C529" s="52" t="s">
        <v>1210</v>
      </c>
      <c r="D529" s="52" t="s">
        <v>1211</v>
      </c>
      <c r="E529" s="52" t="s">
        <v>3357</v>
      </c>
      <c r="F529" s="52" t="s">
        <v>618</v>
      </c>
      <c r="G529" s="52" t="s">
        <v>213</v>
      </c>
      <c r="H529" s="52">
        <v>1</v>
      </c>
    </row>
    <row r="530" spans="1:8" ht="14.4" x14ac:dyDescent="0.3">
      <c r="A530" s="50">
        <v>1790</v>
      </c>
      <c r="B530" s="51">
        <v>20020094091</v>
      </c>
      <c r="C530" s="52" t="s">
        <v>2250</v>
      </c>
      <c r="D530" s="52" t="s">
        <v>1099</v>
      </c>
      <c r="E530" s="52" t="s">
        <v>2237</v>
      </c>
      <c r="F530" s="52" t="s">
        <v>1086</v>
      </c>
      <c r="G530" s="52" t="s">
        <v>244</v>
      </c>
      <c r="H530" s="52">
        <v>1</v>
      </c>
    </row>
    <row r="531" spans="1:8" ht="14.4" x14ac:dyDescent="0.3">
      <c r="A531" s="50">
        <v>1791</v>
      </c>
      <c r="B531" s="51">
        <v>20001104088</v>
      </c>
      <c r="C531" s="52" t="s">
        <v>1815</v>
      </c>
      <c r="D531" s="52" t="s">
        <v>1816</v>
      </c>
      <c r="E531" s="52" t="s">
        <v>1631</v>
      </c>
      <c r="F531" s="52" t="s">
        <v>620</v>
      </c>
      <c r="G531" s="52" t="s">
        <v>244</v>
      </c>
      <c r="H531" s="52">
        <v>1</v>
      </c>
    </row>
    <row r="532" spans="1:8" ht="14.4" x14ac:dyDescent="0.3">
      <c r="A532" s="50">
        <v>1792</v>
      </c>
      <c r="B532" s="51">
        <v>20000330010</v>
      </c>
      <c r="C532" s="52" t="s">
        <v>854</v>
      </c>
      <c r="D532" s="52" t="s">
        <v>855</v>
      </c>
      <c r="E532" s="52" t="s">
        <v>2856</v>
      </c>
      <c r="F532" s="52" t="s">
        <v>664</v>
      </c>
      <c r="G532" s="52" t="s">
        <v>213</v>
      </c>
      <c r="H532" s="52">
        <v>1</v>
      </c>
    </row>
    <row r="533" spans="1:8" ht="14.4" x14ac:dyDescent="0.3">
      <c r="A533" s="50">
        <v>1793</v>
      </c>
      <c r="B533" s="51">
        <v>20000310010</v>
      </c>
      <c r="C533" s="52" t="s">
        <v>680</v>
      </c>
      <c r="D533" s="52" t="s">
        <v>681</v>
      </c>
      <c r="E533" s="52" t="s">
        <v>3402</v>
      </c>
      <c r="F533" s="52" t="s">
        <v>618</v>
      </c>
      <c r="G533" s="52" t="s">
        <v>244</v>
      </c>
      <c r="H533" s="52">
        <v>1</v>
      </c>
    </row>
    <row r="534" spans="1:8" ht="14.4" x14ac:dyDescent="0.3">
      <c r="A534" s="50">
        <v>1794</v>
      </c>
      <c r="B534" s="51">
        <v>20000630026</v>
      </c>
      <c r="C534" s="52" t="s">
        <v>1152</v>
      </c>
      <c r="D534" s="52" t="s">
        <v>688</v>
      </c>
      <c r="E534" s="52" t="s">
        <v>1109</v>
      </c>
      <c r="F534" s="52" t="s">
        <v>618</v>
      </c>
      <c r="G534" s="52" t="s">
        <v>244</v>
      </c>
      <c r="H534" s="52">
        <v>1</v>
      </c>
    </row>
    <row r="535" spans="1:8" ht="14.4" x14ac:dyDescent="0.3">
      <c r="A535" s="50">
        <v>1795</v>
      </c>
      <c r="B535" s="51">
        <v>20000110105</v>
      </c>
      <c r="C535" s="52" t="s">
        <v>636</v>
      </c>
      <c r="D535" s="52" t="s">
        <v>637</v>
      </c>
      <c r="E535" s="52" t="s">
        <v>633</v>
      </c>
      <c r="F535" s="52" t="s">
        <v>628</v>
      </c>
      <c r="G535" s="52" t="s">
        <v>244</v>
      </c>
      <c r="H535" s="52">
        <v>1</v>
      </c>
    </row>
    <row r="536" spans="1:8" ht="14.4" x14ac:dyDescent="0.3">
      <c r="A536" s="50">
        <v>1796</v>
      </c>
      <c r="B536" s="51">
        <v>20000310010</v>
      </c>
      <c r="C536" s="52" t="s">
        <v>692</v>
      </c>
      <c r="D536" s="52" t="s">
        <v>693</v>
      </c>
      <c r="E536" s="52" t="s">
        <v>3402</v>
      </c>
      <c r="F536" s="52" t="s">
        <v>618</v>
      </c>
      <c r="G536" s="52" t="s">
        <v>244</v>
      </c>
      <c r="H536" s="52">
        <v>1</v>
      </c>
    </row>
    <row r="537" spans="1:8" ht="14.4" x14ac:dyDescent="0.3">
      <c r="A537" s="50">
        <v>1797</v>
      </c>
      <c r="B537" s="51">
        <v>20000310010</v>
      </c>
      <c r="C537" s="52" t="s">
        <v>683</v>
      </c>
      <c r="D537" s="52" t="s">
        <v>684</v>
      </c>
      <c r="E537" s="52" t="s">
        <v>3402</v>
      </c>
      <c r="F537" s="52" t="s">
        <v>618</v>
      </c>
      <c r="G537" s="52" t="s">
        <v>244</v>
      </c>
      <c r="H537" s="52">
        <v>1</v>
      </c>
    </row>
    <row r="538" spans="1:8" ht="14.4" x14ac:dyDescent="0.3">
      <c r="A538" s="50">
        <v>1798</v>
      </c>
      <c r="B538" s="51">
        <v>20000330010</v>
      </c>
      <c r="C538" s="52" t="s">
        <v>874</v>
      </c>
      <c r="D538" s="52" t="s">
        <v>2721</v>
      </c>
      <c r="E538" s="52" t="s">
        <v>3402</v>
      </c>
      <c r="F538" s="52" t="s">
        <v>618</v>
      </c>
      <c r="G538" s="52" t="s">
        <v>244</v>
      </c>
      <c r="H538" s="52">
        <v>1</v>
      </c>
    </row>
    <row r="539" spans="1:8" ht="14.4" x14ac:dyDescent="0.3">
      <c r="A539" s="50">
        <v>1799</v>
      </c>
      <c r="B539" s="51">
        <v>20000680024</v>
      </c>
      <c r="C539" s="52" t="s">
        <v>1243</v>
      </c>
      <c r="D539" s="52" t="s">
        <v>1244</v>
      </c>
      <c r="E539" s="52" t="s">
        <v>1245</v>
      </c>
      <c r="F539" s="52" t="s">
        <v>618</v>
      </c>
      <c r="G539" s="52" t="s">
        <v>213</v>
      </c>
      <c r="H539" s="52">
        <v>1</v>
      </c>
    </row>
    <row r="540" spans="1:8" ht="14.4" x14ac:dyDescent="0.3">
      <c r="A540" s="50">
        <v>1800</v>
      </c>
      <c r="B540" s="51">
        <v>20021052112</v>
      </c>
      <c r="C540" s="52" t="s">
        <v>2293</v>
      </c>
      <c r="D540" s="52" t="s">
        <v>2154</v>
      </c>
      <c r="E540" s="52" t="s">
        <v>3618</v>
      </c>
      <c r="F540" s="52" t="s">
        <v>620</v>
      </c>
      <c r="G540" s="52" t="s">
        <v>213</v>
      </c>
      <c r="H540" s="52">
        <v>1</v>
      </c>
    </row>
    <row r="541" spans="1:8" ht="14.4" x14ac:dyDescent="0.3">
      <c r="A541" s="50">
        <v>1801</v>
      </c>
      <c r="B541" s="51">
        <v>20000570123</v>
      </c>
      <c r="C541" s="52" t="s">
        <v>1833</v>
      </c>
      <c r="D541" s="52" t="s">
        <v>1121</v>
      </c>
      <c r="E541" s="52" t="s">
        <v>1031</v>
      </c>
      <c r="F541" s="52" t="s">
        <v>1086</v>
      </c>
      <c r="G541" s="52" t="s">
        <v>244</v>
      </c>
      <c r="H541" s="52">
        <v>1</v>
      </c>
    </row>
    <row r="542" spans="1:8" ht="14.4" x14ac:dyDescent="0.3">
      <c r="A542" s="50">
        <v>1802</v>
      </c>
      <c r="B542" s="51">
        <v>20051001108</v>
      </c>
      <c r="C542" s="52" t="s">
        <v>2330</v>
      </c>
      <c r="D542" s="52" t="s">
        <v>1976</v>
      </c>
      <c r="E542" s="52" t="s">
        <v>1988</v>
      </c>
      <c r="F542" s="52" t="s">
        <v>628</v>
      </c>
      <c r="G542" s="52" t="s">
        <v>213</v>
      </c>
      <c r="H542" s="52">
        <v>1</v>
      </c>
    </row>
    <row r="543" spans="1:8" ht="14.4" x14ac:dyDescent="0.3">
      <c r="A543" s="36">
        <v>1803</v>
      </c>
      <c r="B543" s="36">
        <v>20009001110</v>
      </c>
      <c r="C543" s="36" t="s">
        <v>1821</v>
      </c>
      <c r="D543" s="36" t="s">
        <v>1397</v>
      </c>
      <c r="E543" s="36" t="s">
        <v>1970</v>
      </c>
      <c r="F543" s="36" t="s">
        <v>1313</v>
      </c>
      <c r="G543" s="36" t="s">
        <v>213</v>
      </c>
      <c r="H543" s="36">
        <v>1</v>
      </c>
    </row>
    <row r="544" spans="1:8" ht="14.4" x14ac:dyDescent="0.3">
      <c r="A544" s="50">
        <v>1804</v>
      </c>
      <c r="B544" s="51">
        <v>20009001106</v>
      </c>
      <c r="C544" s="52" t="s">
        <v>2027</v>
      </c>
      <c r="D544" s="52" t="s">
        <v>1559</v>
      </c>
      <c r="E544" s="52" t="s">
        <v>1970</v>
      </c>
      <c r="F544" s="52" t="s">
        <v>1428</v>
      </c>
      <c r="G544" s="52" t="s">
        <v>244</v>
      </c>
      <c r="H544" s="52">
        <v>1</v>
      </c>
    </row>
    <row r="545" spans="1:8" ht="14.4" x14ac:dyDescent="0.3">
      <c r="A545" s="50">
        <v>1805</v>
      </c>
      <c r="B545" s="51">
        <v>20001054085</v>
      </c>
      <c r="C545" s="52" t="s">
        <v>2872</v>
      </c>
      <c r="D545" s="52" t="s">
        <v>1566</v>
      </c>
      <c r="E545" s="52" t="s">
        <v>3399</v>
      </c>
      <c r="F545" s="52" t="s">
        <v>620</v>
      </c>
      <c r="G545" s="52" t="s">
        <v>244</v>
      </c>
      <c r="H545" s="52">
        <v>0.6</v>
      </c>
    </row>
    <row r="546" spans="1:8" ht="14.4" x14ac:dyDescent="0.3">
      <c r="A546" s="50">
        <v>1806</v>
      </c>
      <c r="B546" s="51">
        <v>20000310010</v>
      </c>
      <c r="C546" s="52" t="s">
        <v>698</v>
      </c>
      <c r="D546" s="52" t="s">
        <v>699</v>
      </c>
      <c r="E546" s="52" t="s">
        <v>2922</v>
      </c>
      <c r="F546" s="52" t="s">
        <v>664</v>
      </c>
      <c r="G546" s="52" t="s">
        <v>213</v>
      </c>
      <c r="H546" s="52">
        <v>1</v>
      </c>
    </row>
    <row r="547" spans="1:8" ht="14.4" x14ac:dyDescent="0.3">
      <c r="A547" s="50">
        <v>1807</v>
      </c>
      <c r="B547" s="51">
        <v>20000500003</v>
      </c>
      <c r="C547" s="52" t="s">
        <v>3114</v>
      </c>
      <c r="D547" s="52" t="s">
        <v>976</v>
      </c>
      <c r="E547" s="52" t="s">
        <v>3426</v>
      </c>
      <c r="F547" s="52" t="s">
        <v>618</v>
      </c>
      <c r="G547" s="52" t="s">
        <v>213</v>
      </c>
      <c r="H547" s="52">
        <v>1</v>
      </c>
    </row>
    <row r="548" spans="1:8" ht="14.4" x14ac:dyDescent="0.3">
      <c r="A548" s="50">
        <v>1808</v>
      </c>
      <c r="B548" s="51">
        <v>20000670023</v>
      </c>
      <c r="C548" s="52" t="s">
        <v>1216</v>
      </c>
      <c r="D548" s="52" t="s">
        <v>1217</v>
      </c>
      <c r="E548" s="52" t="s">
        <v>1212</v>
      </c>
      <c r="F548" s="52" t="s">
        <v>618</v>
      </c>
      <c r="G548" s="52" t="s">
        <v>244</v>
      </c>
      <c r="H548" s="52">
        <v>1</v>
      </c>
    </row>
    <row r="549" spans="1:8" ht="14.4" x14ac:dyDescent="0.3">
      <c r="A549" s="50">
        <v>1809</v>
      </c>
      <c r="B549" s="51">
        <v>20000310010</v>
      </c>
      <c r="C549" s="52" t="s">
        <v>718</v>
      </c>
      <c r="D549" s="52" t="s">
        <v>719</v>
      </c>
      <c r="E549" s="52" t="s">
        <v>3402</v>
      </c>
      <c r="F549" s="52" t="s">
        <v>618</v>
      </c>
      <c r="G549" s="52" t="s">
        <v>244</v>
      </c>
      <c r="H549" s="52">
        <v>0.8</v>
      </c>
    </row>
    <row r="550" spans="1:8" ht="14.4" x14ac:dyDescent="0.3">
      <c r="A550" s="50">
        <v>1810</v>
      </c>
      <c r="B550" s="51">
        <v>20020040014</v>
      </c>
      <c r="C550" s="52" t="s">
        <v>1884</v>
      </c>
      <c r="D550" s="52" t="s">
        <v>1030</v>
      </c>
      <c r="E550" s="52" t="s">
        <v>1290</v>
      </c>
      <c r="F550" s="52" t="s">
        <v>618</v>
      </c>
      <c r="G550" s="52" t="s">
        <v>213</v>
      </c>
      <c r="H550" s="52">
        <v>1</v>
      </c>
    </row>
    <row r="551" spans="1:8" ht="14.4" x14ac:dyDescent="0.3">
      <c r="A551" s="50">
        <v>1811</v>
      </c>
      <c r="B551" s="51">
        <v>20000630026</v>
      </c>
      <c r="C551" s="52" t="s">
        <v>1127</v>
      </c>
      <c r="D551" s="52" t="s">
        <v>723</v>
      </c>
      <c r="E551" s="52" t="s">
        <v>1116</v>
      </c>
      <c r="F551" s="52" t="s">
        <v>618</v>
      </c>
      <c r="G551" s="52" t="s">
        <v>213</v>
      </c>
      <c r="H551" s="52">
        <v>1</v>
      </c>
    </row>
    <row r="552" spans="1:8" ht="14.4" x14ac:dyDescent="0.3">
      <c r="A552" s="50">
        <v>1812</v>
      </c>
      <c r="B552" s="51">
        <v>20051001108</v>
      </c>
      <c r="C552" s="52" t="s">
        <v>2333</v>
      </c>
      <c r="D552" s="52" t="s">
        <v>739</v>
      </c>
      <c r="E552" s="52" t="s">
        <v>1988</v>
      </c>
      <c r="F552" s="52" t="s">
        <v>628</v>
      </c>
      <c r="G552" s="52" t="s">
        <v>244</v>
      </c>
      <c r="H552" s="52">
        <v>1</v>
      </c>
    </row>
    <row r="553" spans="1:8" ht="14.4" x14ac:dyDescent="0.3">
      <c r="A553" s="36">
        <v>1813</v>
      </c>
      <c r="B553" s="36">
        <v>20051001108</v>
      </c>
      <c r="C553" s="36" t="s">
        <v>2334</v>
      </c>
      <c r="D553" s="36" t="s">
        <v>1814</v>
      </c>
      <c r="E553" s="36" t="s">
        <v>2335</v>
      </c>
      <c r="F553" s="36" t="s">
        <v>628</v>
      </c>
      <c r="G553" s="36" t="s">
        <v>244</v>
      </c>
      <c r="H553" s="36">
        <v>1</v>
      </c>
    </row>
    <row r="554" spans="1:8" ht="14.4" x14ac:dyDescent="0.3">
      <c r="A554" s="36">
        <v>1814</v>
      </c>
      <c r="B554" s="36">
        <v>20001104092</v>
      </c>
      <c r="C554" s="36" t="s">
        <v>1589</v>
      </c>
      <c r="D554" s="36" t="s">
        <v>1154</v>
      </c>
      <c r="E554" s="36" t="s">
        <v>1639</v>
      </c>
      <c r="F554" s="36" t="s">
        <v>1086</v>
      </c>
      <c r="G554" s="36" t="s">
        <v>213</v>
      </c>
      <c r="H554" s="36">
        <v>1</v>
      </c>
    </row>
    <row r="555" spans="1:8" ht="14.4" x14ac:dyDescent="0.3">
      <c r="A555" s="50">
        <v>1815</v>
      </c>
      <c r="B555" s="51">
        <v>20001140004</v>
      </c>
      <c r="C555" s="52" t="s">
        <v>1844</v>
      </c>
      <c r="D555" s="52" t="s">
        <v>1121</v>
      </c>
      <c r="E555" s="52" t="s">
        <v>1845</v>
      </c>
      <c r="F555" s="52" t="s">
        <v>618</v>
      </c>
      <c r="G555" s="52" t="s">
        <v>244</v>
      </c>
      <c r="H555" s="52">
        <v>1</v>
      </c>
    </row>
    <row r="556" spans="1:8" ht="14.4" x14ac:dyDescent="0.3">
      <c r="A556" s="50">
        <v>1816</v>
      </c>
      <c r="B556" s="51">
        <v>20000630026</v>
      </c>
      <c r="C556" s="52" t="s">
        <v>677</v>
      </c>
      <c r="D556" s="52" t="s">
        <v>1119</v>
      </c>
      <c r="E556" s="52" t="s">
        <v>1116</v>
      </c>
      <c r="F556" s="52" t="s">
        <v>618</v>
      </c>
      <c r="G556" s="52" t="s">
        <v>213</v>
      </c>
      <c r="H556" s="52">
        <v>1</v>
      </c>
    </row>
    <row r="557" spans="1:8" ht="14.4" x14ac:dyDescent="0.3">
      <c r="A557" s="50">
        <v>1817</v>
      </c>
      <c r="B557" s="51">
        <v>20009001109</v>
      </c>
      <c r="C557" s="52" t="s">
        <v>2107</v>
      </c>
      <c r="D557" s="52" t="s">
        <v>2108</v>
      </c>
      <c r="E557" s="52" t="s">
        <v>3427</v>
      </c>
      <c r="F557" s="52" t="s">
        <v>1532</v>
      </c>
      <c r="G557" s="52" t="s">
        <v>244</v>
      </c>
      <c r="H557" s="52">
        <v>1</v>
      </c>
    </row>
    <row r="558" spans="1:8" ht="14.4" x14ac:dyDescent="0.3">
      <c r="A558" s="50">
        <v>1818</v>
      </c>
      <c r="B558" s="51">
        <v>20001054089</v>
      </c>
      <c r="C558" s="52" t="s">
        <v>901</v>
      </c>
      <c r="D558" s="52" t="s">
        <v>1078</v>
      </c>
      <c r="E558" s="52" t="s">
        <v>3428</v>
      </c>
      <c r="F558" s="52" t="s">
        <v>1086</v>
      </c>
      <c r="G558" s="52" t="s">
        <v>244</v>
      </c>
      <c r="H558" s="52">
        <v>1</v>
      </c>
    </row>
    <row r="559" spans="1:8" ht="14.4" x14ac:dyDescent="0.3">
      <c r="A559" s="50">
        <v>1819</v>
      </c>
      <c r="B559" s="51">
        <v>20009001108</v>
      </c>
      <c r="C559" s="52" t="s">
        <v>2815</v>
      </c>
      <c r="D559" s="52" t="s">
        <v>2078</v>
      </c>
      <c r="E559" s="52" t="s">
        <v>1970</v>
      </c>
      <c r="F559" s="52" t="s">
        <v>628</v>
      </c>
      <c r="G559" s="52" t="s">
        <v>244</v>
      </c>
      <c r="H559" s="52">
        <v>1</v>
      </c>
    </row>
    <row r="560" spans="1:8" ht="14.4" x14ac:dyDescent="0.3">
      <c r="A560" s="50">
        <v>1820</v>
      </c>
      <c r="B560" s="51">
        <v>20020094087</v>
      </c>
      <c r="C560" s="52" t="s">
        <v>1098</v>
      </c>
      <c r="D560" s="52" t="s">
        <v>2244</v>
      </c>
      <c r="E560" s="52" t="s">
        <v>3429</v>
      </c>
      <c r="F560" s="52" t="s">
        <v>620</v>
      </c>
      <c r="G560" s="52" t="s">
        <v>244</v>
      </c>
      <c r="H560" s="52">
        <v>1</v>
      </c>
    </row>
    <row r="561" spans="1:8" ht="14.4" x14ac:dyDescent="0.3">
      <c r="A561" s="50">
        <v>1821</v>
      </c>
      <c r="B561" s="51">
        <v>20001140004</v>
      </c>
      <c r="C561" s="52" t="s">
        <v>3285</v>
      </c>
      <c r="D561" s="52" t="s">
        <v>1036</v>
      </c>
      <c r="E561" s="52" t="s">
        <v>1426</v>
      </c>
      <c r="F561" s="52" t="s">
        <v>618</v>
      </c>
      <c r="G561" s="52" t="s">
        <v>244</v>
      </c>
      <c r="H561" s="52">
        <v>1</v>
      </c>
    </row>
    <row r="562" spans="1:8" ht="14.4" x14ac:dyDescent="0.3">
      <c r="A562" s="50">
        <v>1822</v>
      </c>
      <c r="B562" s="51">
        <v>20001102064</v>
      </c>
      <c r="C562" s="52" t="s">
        <v>2770</v>
      </c>
      <c r="D562" s="52" t="s">
        <v>746</v>
      </c>
      <c r="E562" s="52" t="s">
        <v>3390</v>
      </c>
      <c r="F562" s="52" t="s">
        <v>1441</v>
      </c>
      <c r="G562" s="52" t="s">
        <v>244</v>
      </c>
      <c r="H562" s="52">
        <v>1</v>
      </c>
    </row>
    <row r="563" spans="1:8" ht="14.4" x14ac:dyDescent="0.3">
      <c r="A563" s="50">
        <v>1823</v>
      </c>
      <c r="B563" s="51">
        <v>20017050146</v>
      </c>
      <c r="C563" s="52" t="s">
        <v>1614</v>
      </c>
      <c r="D563" s="52" t="s">
        <v>1104</v>
      </c>
      <c r="E563" s="52" t="s">
        <v>1326</v>
      </c>
      <c r="F563" s="52" t="s">
        <v>1086</v>
      </c>
      <c r="G563" s="52" t="s">
        <v>213</v>
      </c>
      <c r="H563" s="52">
        <v>1</v>
      </c>
    </row>
    <row r="564" spans="1:8" ht="14.4" x14ac:dyDescent="0.3">
      <c r="A564" s="50">
        <v>1826</v>
      </c>
      <c r="B564" s="51">
        <v>20009001109</v>
      </c>
      <c r="C564" s="52" t="s">
        <v>2103</v>
      </c>
      <c r="D564" s="52" t="s">
        <v>1974</v>
      </c>
      <c r="E564" s="52" t="s">
        <v>1988</v>
      </c>
      <c r="F564" s="52" t="s">
        <v>1532</v>
      </c>
      <c r="G564" s="52" t="s">
        <v>213</v>
      </c>
      <c r="H564" s="52">
        <v>1</v>
      </c>
    </row>
    <row r="565" spans="1:8" ht="14.4" x14ac:dyDescent="0.3">
      <c r="A565" s="50">
        <v>1827</v>
      </c>
      <c r="B565" s="51">
        <v>20001104088</v>
      </c>
      <c r="C565" s="52" t="s">
        <v>1811</v>
      </c>
      <c r="D565" s="52" t="s">
        <v>1812</v>
      </c>
      <c r="E565" s="52" t="s">
        <v>1290</v>
      </c>
      <c r="F565" s="52" t="s">
        <v>620</v>
      </c>
      <c r="G565" s="52" t="s">
        <v>244</v>
      </c>
      <c r="H565" s="52">
        <v>1</v>
      </c>
    </row>
    <row r="566" spans="1:8" ht="14.4" x14ac:dyDescent="0.3">
      <c r="A566" s="50">
        <v>1828</v>
      </c>
      <c r="B566" s="51">
        <v>20001052057</v>
      </c>
      <c r="C566" s="52" t="s">
        <v>1427</v>
      </c>
      <c r="D566" s="52" t="s">
        <v>1390</v>
      </c>
      <c r="E566" s="52" t="s">
        <v>1326</v>
      </c>
      <c r="F566" s="52" t="s">
        <v>1428</v>
      </c>
      <c r="G566" s="52" t="s">
        <v>213</v>
      </c>
      <c r="H566" s="52">
        <v>1</v>
      </c>
    </row>
    <row r="567" spans="1:8" ht="14.4" x14ac:dyDescent="0.3">
      <c r="A567" s="50">
        <v>1829</v>
      </c>
      <c r="B567" s="51">
        <v>20001052065</v>
      </c>
      <c r="C567" s="52" t="s">
        <v>1459</v>
      </c>
      <c r="D567" s="52" t="s">
        <v>908</v>
      </c>
      <c r="E567" s="52" t="s">
        <v>3376</v>
      </c>
      <c r="F567" s="52" t="s">
        <v>628</v>
      </c>
      <c r="G567" s="52" t="s">
        <v>244</v>
      </c>
      <c r="H567" s="52">
        <v>1</v>
      </c>
    </row>
    <row r="568" spans="1:8" ht="14.4" x14ac:dyDescent="0.3">
      <c r="A568" s="50">
        <v>1830</v>
      </c>
      <c r="B568" s="51">
        <v>20000500003</v>
      </c>
      <c r="C568" s="52" t="s">
        <v>978</v>
      </c>
      <c r="D568" s="52" t="s">
        <v>887</v>
      </c>
      <c r="E568" s="52" t="s">
        <v>972</v>
      </c>
      <c r="F568" s="52" t="s">
        <v>618</v>
      </c>
      <c r="G568" s="52" t="s">
        <v>244</v>
      </c>
      <c r="H568" s="52">
        <v>1</v>
      </c>
    </row>
    <row r="569" spans="1:8" ht="14.4" x14ac:dyDescent="0.3">
      <c r="A569" s="50">
        <v>1831</v>
      </c>
      <c r="B569" s="51">
        <v>20020052066</v>
      </c>
      <c r="C569" s="52" t="s">
        <v>2816</v>
      </c>
      <c r="D569" s="52" t="s">
        <v>2220</v>
      </c>
      <c r="E569" s="52" t="s">
        <v>2209</v>
      </c>
      <c r="F569" s="52" t="s">
        <v>628</v>
      </c>
      <c r="G569" s="52" t="s">
        <v>244</v>
      </c>
      <c r="H569" s="52">
        <v>1</v>
      </c>
    </row>
    <row r="570" spans="1:8" ht="14.4" x14ac:dyDescent="0.3">
      <c r="A570" s="50">
        <v>1832</v>
      </c>
      <c r="B570" s="51">
        <v>20001052065</v>
      </c>
      <c r="C570" s="52" t="s">
        <v>1454</v>
      </c>
      <c r="D570" s="52" t="s">
        <v>1455</v>
      </c>
      <c r="E570" s="52" t="s">
        <v>1326</v>
      </c>
      <c r="F570" s="52" t="s">
        <v>628</v>
      </c>
      <c r="G570" s="52" t="s">
        <v>244</v>
      </c>
      <c r="H570" s="52">
        <v>1</v>
      </c>
    </row>
    <row r="571" spans="1:8" ht="14.4" x14ac:dyDescent="0.3">
      <c r="A571" s="50">
        <v>1833</v>
      </c>
      <c r="B571" s="51">
        <v>20001050129</v>
      </c>
      <c r="C571" s="52" t="s">
        <v>1325</v>
      </c>
      <c r="D571" s="52" t="s">
        <v>1159</v>
      </c>
      <c r="E571" s="52" t="s">
        <v>2873</v>
      </c>
      <c r="F571" s="52" t="s">
        <v>628</v>
      </c>
      <c r="G571" s="52" t="s">
        <v>213</v>
      </c>
      <c r="H571" s="52">
        <v>1</v>
      </c>
    </row>
    <row r="572" spans="1:8" ht="14.4" x14ac:dyDescent="0.3">
      <c r="A572" s="50">
        <v>1834</v>
      </c>
      <c r="B572" s="51">
        <v>20001052065</v>
      </c>
      <c r="C572" s="52" t="s">
        <v>1462</v>
      </c>
      <c r="D572" s="52" t="s">
        <v>1463</v>
      </c>
      <c r="E572" s="52" t="s">
        <v>1326</v>
      </c>
      <c r="F572" s="52" t="s">
        <v>628</v>
      </c>
      <c r="G572" s="52" t="s">
        <v>213</v>
      </c>
      <c r="H572" s="52">
        <v>1</v>
      </c>
    </row>
    <row r="573" spans="1:8" ht="14.4" x14ac:dyDescent="0.3">
      <c r="A573" s="50">
        <v>1835</v>
      </c>
      <c r="B573" s="51">
        <v>20001052065</v>
      </c>
      <c r="C573" s="52" t="s">
        <v>1466</v>
      </c>
      <c r="D573" s="52" t="s">
        <v>1467</v>
      </c>
      <c r="E573" s="52" t="s">
        <v>1326</v>
      </c>
      <c r="F573" s="52" t="s">
        <v>628</v>
      </c>
      <c r="G573" s="52" t="s">
        <v>213</v>
      </c>
      <c r="H573" s="52">
        <v>1</v>
      </c>
    </row>
    <row r="574" spans="1:8" ht="14.4" x14ac:dyDescent="0.3">
      <c r="A574" s="50">
        <v>1836</v>
      </c>
      <c r="B574" s="51">
        <v>20001052065</v>
      </c>
      <c r="C574" s="52" t="s">
        <v>1489</v>
      </c>
      <c r="D574" s="52" t="s">
        <v>1490</v>
      </c>
      <c r="E574" s="52" t="s">
        <v>1326</v>
      </c>
      <c r="F574" s="52" t="s">
        <v>628</v>
      </c>
      <c r="G574" s="52" t="s">
        <v>213</v>
      </c>
      <c r="H574" s="52">
        <v>1</v>
      </c>
    </row>
    <row r="575" spans="1:8" ht="14.4" x14ac:dyDescent="0.3">
      <c r="A575" s="50">
        <v>1837</v>
      </c>
      <c r="B575" s="51">
        <v>20001052065</v>
      </c>
      <c r="C575" s="52" t="s">
        <v>1529</v>
      </c>
      <c r="D575" s="52" t="s">
        <v>766</v>
      </c>
      <c r="E575" s="52" t="s">
        <v>1326</v>
      </c>
      <c r="F575" s="52" t="s">
        <v>628</v>
      </c>
      <c r="G575" s="52" t="s">
        <v>244</v>
      </c>
      <c r="H575" s="52">
        <v>1</v>
      </c>
    </row>
    <row r="576" spans="1:8" ht="14.4" x14ac:dyDescent="0.3">
      <c r="A576" s="50">
        <v>1838</v>
      </c>
      <c r="B576" s="51">
        <v>20001050116</v>
      </c>
      <c r="C576" s="52" t="s">
        <v>1324</v>
      </c>
      <c r="D576" s="52" t="s">
        <v>797</v>
      </c>
      <c r="E576" s="52" t="s">
        <v>3399</v>
      </c>
      <c r="F576" s="52" t="s">
        <v>620</v>
      </c>
      <c r="G576" s="52" t="s">
        <v>244</v>
      </c>
      <c r="H576" s="52">
        <v>1</v>
      </c>
    </row>
    <row r="577" spans="1:8" ht="14.4" x14ac:dyDescent="0.3">
      <c r="A577" s="50">
        <v>1839</v>
      </c>
      <c r="B577" s="51">
        <v>20009001108</v>
      </c>
      <c r="C577" s="52" t="s">
        <v>2043</v>
      </c>
      <c r="D577" s="52" t="s">
        <v>1557</v>
      </c>
      <c r="E577" s="52" t="s">
        <v>1970</v>
      </c>
      <c r="F577" s="52" t="s">
        <v>628</v>
      </c>
      <c r="G577" s="52" t="s">
        <v>213</v>
      </c>
      <c r="H577" s="52">
        <v>1</v>
      </c>
    </row>
    <row r="578" spans="1:8" ht="14.4" x14ac:dyDescent="0.3">
      <c r="A578" s="50">
        <v>1840</v>
      </c>
      <c r="B578" s="51">
        <v>20000650027</v>
      </c>
      <c r="C578" s="52" t="s">
        <v>1163</v>
      </c>
      <c r="D578" s="52" t="s">
        <v>1164</v>
      </c>
      <c r="E578" s="52" t="s">
        <v>1165</v>
      </c>
      <c r="F578" s="52" t="s">
        <v>618</v>
      </c>
      <c r="G578" s="52" t="s">
        <v>244</v>
      </c>
      <c r="H578" s="52">
        <v>1</v>
      </c>
    </row>
    <row r="579" spans="1:8" ht="14.4" x14ac:dyDescent="0.3">
      <c r="A579" s="50">
        <v>1841</v>
      </c>
      <c r="B579" s="51">
        <v>20001140004</v>
      </c>
      <c r="C579" s="52" t="s">
        <v>1880</v>
      </c>
      <c r="D579" s="52" t="s">
        <v>844</v>
      </c>
      <c r="E579" s="52" t="s">
        <v>3243</v>
      </c>
      <c r="F579" s="52" t="s">
        <v>618</v>
      </c>
      <c r="G579" s="52" t="s">
        <v>213</v>
      </c>
      <c r="H579" s="52">
        <v>1</v>
      </c>
    </row>
    <row r="580" spans="1:8" ht="14.4" x14ac:dyDescent="0.3">
      <c r="A580" s="50">
        <v>1842</v>
      </c>
      <c r="B580" s="51">
        <v>20051092067</v>
      </c>
      <c r="C580" s="52" t="s">
        <v>2336</v>
      </c>
      <c r="D580" s="52" t="s">
        <v>1891</v>
      </c>
      <c r="E580" s="52" t="s">
        <v>2471</v>
      </c>
      <c r="F580" s="52" t="s">
        <v>628</v>
      </c>
      <c r="G580" s="52" t="s">
        <v>244</v>
      </c>
      <c r="H580" s="52">
        <v>1</v>
      </c>
    </row>
    <row r="581" spans="1:8" ht="14.4" x14ac:dyDescent="0.3">
      <c r="A581" s="36">
        <v>1843</v>
      </c>
      <c r="B581" s="36">
        <v>20009001108</v>
      </c>
      <c r="C581" s="36" t="s">
        <v>2055</v>
      </c>
      <c r="D581" s="36" t="s">
        <v>741</v>
      </c>
      <c r="E581" s="36" t="s">
        <v>1993</v>
      </c>
      <c r="F581" s="36" t="s">
        <v>628</v>
      </c>
      <c r="G581" s="36" t="s">
        <v>213</v>
      </c>
      <c r="H581" s="36">
        <v>1</v>
      </c>
    </row>
    <row r="582" spans="1:8" ht="14.4" x14ac:dyDescent="0.3">
      <c r="A582" s="50">
        <v>1844</v>
      </c>
      <c r="B582" s="51">
        <v>20009001112</v>
      </c>
      <c r="C582" s="52" t="s">
        <v>2128</v>
      </c>
      <c r="D582" s="52" t="s">
        <v>2129</v>
      </c>
      <c r="E582" s="52" t="s">
        <v>3423</v>
      </c>
      <c r="F582" s="52" t="s">
        <v>620</v>
      </c>
      <c r="G582" s="52" t="s">
        <v>244</v>
      </c>
      <c r="H582" s="52">
        <v>1</v>
      </c>
    </row>
    <row r="583" spans="1:8" ht="14.4" x14ac:dyDescent="0.3">
      <c r="A583" s="50">
        <v>1845</v>
      </c>
      <c r="B583" s="51">
        <v>20001104092</v>
      </c>
      <c r="C583" s="52" t="s">
        <v>1620</v>
      </c>
      <c r="D583" s="52" t="s">
        <v>1621</v>
      </c>
      <c r="E583" s="52" t="s">
        <v>1468</v>
      </c>
      <c r="F583" s="52" t="s">
        <v>1086</v>
      </c>
      <c r="G583" s="52" t="s">
        <v>213</v>
      </c>
      <c r="H583" s="52">
        <v>1</v>
      </c>
    </row>
    <row r="584" spans="1:8" ht="14.4" x14ac:dyDescent="0.3">
      <c r="A584" s="50">
        <v>1846</v>
      </c>
      <c r="B584" s="51">
        <v>20001140004</v>
      </c>
      <c r="C584" s="52" t="s">
        <v>1840</v>
      </c>
      <c r="D584" s="52" t="s">
        <v>923</v>
      </c>
      <c r="E584" s="52" t="s">
        <v>1841</v>
      </c>
      <c r="F584" s="52" t="s">
        <v>620</v>
      </c>
      <c r="G584" s="52" t="s">
        <v>213</v>
      </c>
      <c r="H584" s="52">
        <v>1</v>
      </c>
    </row>
    <row r="585" spans="1:8" ht="14.4" x14ac:dyDescent="0.3">
      <c r="A585" s="50">
        <v>1847</v>
      </c>
      <c r="B585" s="51">
        <v>20009001108</v>
      </c>
      <c r="C585" s="52" t="s">
        <v>2064</v>
      </c>
      <c r="D585" s="52" t="s">
        <v>1897</v>
      </c>
      <c r="E585" s="52" t="s">
        <v>1970</v>
      </c>
      <c r="F585" s="52" t="s">
        <v>628</v>
      </c>
      <c r="G585" s="52" t="s">
        <v>145</v>
      </c>
      <c r="H585" s="52">
        <v>1</v>
      </c>
    </row>
    <row r="586" spans="1:8" ht="14.4" x14ac:dyDescent="0.3">
      <c r="A586" s="50">
        <v>1848</v>
      </c>
      <c r="B586" s="51">
        <v>20020112073</v>
      </c>
      <c r="C586" s="52" t="s">
        <v>2264</v>
      </c>
      <c r="D586" s="52" t="s">
        <v>2265</v>
      </c>
      <c r="E586" s="52" t="s">
        <v>2263</v>
      </c>
      <c r="F586" s="52" t="s">
        <v>628</v>
      </c>
      <c r="G586" s="52" t="s">
        <v>244</v>
      </c>
      <c r="H586" s="52">
        <v>1</v>
      </c>
    </row>
    <row r="587" spans="1:8" ht="14.4" x14ac:dyDescent="0.3">
      <c r="A587" s="50">
        <v>1849</v>
      </c>
      <c r="B587" s="51">
        <v>20001102060</v>
      </c>
      <c r="C587" s="52" t="s">
        <v>1503</v>
      </c>
      <c r="D587" s="52" t="s">
        <v>1158</v>
      </c>
      <c r="E587" s="52" t="s">
        <v>1639</v>
      </c>
      <c r="F587" s="52" t="s">
        <v>1428</v>
      </c>
      <c r="G587" s="52" t="s">
        <v>244</v>
      </c>
      <c r="H587" s="52">
        <v>1</v>
      </c>
    </row>
    <row r="588" spans="1:8" ht="14.4" x14ac:dyDescent="0.3">
      <c r="A588" s="50">
        <v>1850</v>
      </c>
      <c r="B588" s="51">
        <v>20001140004</v>
      </c>
      <c r="C588" s="52" t="s">
        <v>1859</v>
      </c>
      <c r="D588" s="52" t="s">
        <v>916</v>
      </c>
      <c r="E588" s="52" t="s">
        <v>1845</v>
      </c>
      <c r="F588" s="52" t="s">
        <v>618</v>
      </c>
      <c r="G588" s="52" t="s">
        <v>244</v>
      </c>
      <c r="H588" s="52">
        <v>1</v>
      </c>
    </row>
    <row r="589" spans="1:8" ht="14.4" x14ac:dyDescent="0.3">
      <c r="A589" s="50">
        <v>1851</v>
      </c>
      <c r="B589" s="51">
        <v>20000310010</v>
      </c>
      <c r="C589" s="52" t="s">
        <v>669</v>
      </c>
      <c r="D589" s="52" t="s">
        <v>670</v>
      </c>
      <c r="E589" s="52" t="s">
        <v>3402</v>
      </c>
      <c r="F589" s="52" t="s">
        <v>618</v>
      </c>
      <c r="G589" s="52" t="s">
        <v>244</v>
      </c>
      <c r="H589" s="52">
        <v>1</v>
      </c>
    </row>
    <row r="590" spans="1:8" ht="14.4" x14ac:dyDescent="0.3">
      <c r="A590" s="50">
        <v>1852</v>
      </c>
      <c r="B590" s="51">
        <v>20000330010</v>
      </c>
      <c r="C590" s="52" t="s">
        <v>864</v>
      </c>
      <c r="D590" s="52" t="s">
        <v>865</v>
      </c>
      <c r="E590" s="52" t="s">
        <v>663</v>
      </c>
      <c r="F590" s="52" t="s">
        <v>664</v>
      </c>
      <c r="G590" s="52" t="s">
        <v>244</v>
      </c>
      <c r="H590" s="52">
        <v>1</v>
      </c>
    </row>
    <row r="591" spans="1:8" ht="14.4" x14ac:dyDescent="0.3">
      <c r="A591" s="50">
        <v>1853</v>
      </c>
      <c r="B591" s="51">
        <v>20000310010</v>
      </c>
      <c r="C591" s="52" t="s">
        <v>732</v>
      </c>
      <c r="D591" s="52" t="s">
        <v>733</v>
      </c>
      <c r="E591" s="52" t="s">
        <v>3402</v>
      </c>
      <c r="F591" s="52" t="s">
        <v>618</v>
      </c>
      <c r="G591" s="52" t="s">
        <v>244</v>
      </c>
      <c r="H591" s="52">
        <v>1</v>
      </c>
    </row>
    <row r="592" spans="1:8" ht="14.4" x14ac:dyDescent="0.3">
      <c r="A592" s="50">
        <v>1857</v>
      </c>
      <c r="B592" s="51">
        <v>20000630026</v>
      </c>
      <c r="C592" s="52" t="s">
        <v>1128</v>
      </c>
      <c r="D592" s="52" t="s">
        <v>719</v>
      </c>
      <c r="E592" s="52" t="s">
        <v>1109</v>
      </c>
      <c r="F592" s="52" t="s">
        <v>618</v>
      </c>
      <c r="G592" s="52" t="s">
        <v>244</v>
      </c>
      <c r="H592" s="52">
        <v>1</v>
      </c>
    </row>
    <row r="593" spans="1:8" ht="14.4" x14ac:dyDescent="0.3">
      <c r="A593" s="50">
        <v>1858</v>
      </c>
      <c r="B593" s="51">
        <v>20000110105</v>
      </c>
      <c r="C593" s="52" t="s">
        <v>638</v>
      </c>
      <c r="D593" s="52" t="s">
        <v>640</v>
      </c>
      <c r="E593" s="52" t="s">
        <v>633</v>
      </c>
      <c r="F593" s="52" t="s">
        <v>628</v>
      </c>
      <c r="G593" s="52" t="s">
        <v>244</v>
      </c>
      <c r="H593" s="52">
        <v>1</v>
      </c>
    </row>
    <row r="594" spans="1:8" ht="14.4" x14ac:dyDescent="0.3">
      <c r="A594" s="50">
        <v>1859</v>
      </c>
      <c r="B594" s="51">
        <v>20000310010</v>
      </c>
      <c r="C594" s="52" t="s">
        <v>709</v>
      </c>
      <c r="D594" s="52" t="s">
        <v>710</v>
      </c>
      <c r="E594" s="52" t="s">
        <v>3139</v>
      </c>
      <c r="F594" s="52" t="s">
        <v>664</v>
      </c>
      <c r="G594" s="52" t="s">
        <v>213</v>
      </c>
      <c r="H594" s="52">
        <v>1</v>
      </c>
    </row>
    <row r="595" spans="1:8" ht="14.4" x14ac:dyDescent="0.3">
      <c r="A595" s="50">
        <v>1860</v>
      </c>
      <c r="B595" s="51">
        <v>20009001110</v>
      </c>
      <c r="C595" s="52" t="s">
        <v>2122</v>
      </c>
      <c r="D595" s="52" t="s">
        <v>2123</v>
      </c>
      <c r="E595" s="52" t="s">
        <v>1970</v>
      </c>
      <c r="F595" s="52" t="s">
        <v>1313</v>
      </c>
      <c r="G595" s="52" t="s">
        <v>244</v>
      </c>
      <c r="H595" s="52">
        <v>1</v>
      </c>
    </row>
    <row r="596" spans="1:8" ht="14.4" x14ac:dyDescent="0.3">
      <c r="A596" s="50">
        <v>1861</v>
      </c>
      <c r="B596" s="51">
        <v>20000310010</v>
      </c>
      <c r="C596" s="52" t="s">
        <v>667</v>
      </c>
      <c r="D596" s="52" t="s">
        <v>668</v>
      </c>
      <c r="E596" s="52" t="s">
        <v>663</v>
      </c>
      <c r="F596" s="52" t="s">
        <v>664</v>
      </c>
      <c r="G596" s="52" t="s">
        <v>244</v>
      </c>
      <c r="H596" s="52">
        <v>0.8</v>
      </c>
    </row>
    <row r="597" spans="1:8" ht="14.4" x14ac:dyDescent="0.3">
      <c r="A597" s="50">
        <v>1862</v>
      </c>
      <c r="B597" s="51">
        <v>20000040110</v>
      </c>
      <c r="C597" s="52" t="s">
        <v>3430</v>
      </c>
      <c r="D597" s="52" t="s">
        <v>619</v>
      </c>
      <c r="E597" s="52" t="s">
        <v>2478</v>
      </c>
      <c r="F597" s="52" t="s">
        <v>620</v>
      </c>
      <c r="G597" s="52" t="s">
        <v>244</v>
      </c>
      <c r="H597" s="52">
        <v>1</v>
      </c>
    </row>
    <row r="598" spans="1:8" ht="14.4" x14ac:dyDescent="0.3">
      <c r="A598" s="50">
        <v>1863</v>
      </c>
      <c r="B598" s="51">
        <v>20020094087</v>
      </c>
      <c r="C598" s="52" t="s">
        <v>2137</v>
      </c>
      <c r="D598" s="52" t="s">
        <v>2138</v>
      </c>
      <c r="E598" s="52" t="s">
        <v>1967</v>
      </c>
      <c r="F598" s="52" t="s">
        <v>620</v>
      </c>
      <c r="G598" s="52" t="s">
        <v>213</v>
      </c>
      <c r="H598" s="52">
        <v>1</v>
      </c>
    </row>
    <row r="599" spans="1:8" ht="14.4" x14ac:dyDescent="0.3">
      <c r="A599" s="50">
        <v>1864</v>
      </c>
      <c r="B599" s="51">
        <v>20060110034</v>
      </c>
      <c r="C599" s="52" t="s">
        <v>2355</v>
      </c>
      <c r="D599" s="52" t="s">
        <v>1279</v>
      </c>
      <c r="E599" s="52" t="s">
        <v>3183</v>
      </c>
      <c r="F599" s="52" t="s">
        <v>618</v>
      </c>
      <c r="G599" s="52" t="s">
        <v>213</v>
      </c>
      <c r="H599" s="52">
        <v>1</v>
      </c>
    </row>
    <row r="600" spans="1:8" ht="14.4" x14ac:dyDescent="0.3">
      <c r="A600" s="36">
        <v>1865</v>
      </c>
      <c r="B600" s="36">
        <v>20000310010</v>
      </c>
      <c r="C600" s="36" t="s">
        <v>671</v>
      </c>
      <c r="D600" s="36" t="s">
        <v>672</v>
      </c>
      <c r="E600" s="36" t="s">
        <v>2928</v>
      </c>
      <c r="F600" s="36" t="s">
        <v>664</v>
      </c>
      <c r="G600" s="36" t="s">
        <v>244</v>
      </c>
      <c r="H600" s="36">
        <v>1</v>
      </c>
    </row>
    <row r="601" spans="1:8" ht="14.4" x14ac:dyDescent="0.3">
      <c r="A601" s="50">
        <v>1866</v>
      </c>
      <c r="B601" s="51">
        <v>20000500003</v>
      </c>
      <c r="C601" s="52" t="s">
        <v>969</v>
      </c>
      <c r="D601" s="52" t="s">
        <v>688</v>
      </c>
      <c r="E601" s="52" t="s">
        <v>970</v>
      </c>
      <c r="F601" s="52" t="s">
        <v>618</v>
      </c>
      <c r="G601" s="52" t="s">
        <v>244</v>
      </c>
      <c r="H601" s="52">
        <v>1</v>
      </c>
    </row>
    <row r="602" spans="1:8" ht="14.4" x14ac:dyDescent="0.3">
      <c r="A602" s="50">
        <v>1867</v>
      </c>
      <c r="B602" s="51">
        <v>20000800025</v>
      </c>
      <c r="C602" s="52" t="s">
        <v>1259</v>
      </c>
      <c r="D602" s="52" t="s">
        <v>695</v>
      </c>
      <c r="E602" s="52" t="s">
        <v>2467</v>
      </c>
      <c r="F602" s="52" t="s">
        <v>618</v>
      </c>
      <c r="G602" s="52" t="s">
        <v>145</v>
      </c>
      <c r="H602" s="52">
        <v>1</v>
      </c>
    </row>
    <row r="603" spans="1:8" ht="14.4" x14ac:dyDescent="0.3">
      <c r="A603" s="50">
        <v>1868</v>
      </c>
      <c r="B603" s="51">
        <v>20009001109</v>
      </c>
      <c r="C603" s="52" t="s">
        <v>2096</v>
      </c>
      <c r="D603" s="52" t="s">
        <v>762</v>
      </c>
      <c r="E603" s="52" t="s">
        <v>3427</v>
      </c>
      <c r="F603" s="52" t="s">
        <v>1532</v>
      </c>
      <c r="G603" s="52" t="s">
        <v>244</v>
      </c>
      <c r="H603" s="52">
        <v>1</v>
      </c>
    </row>
    <row r="604" spans="1:8" ht="14.4" x14ac:dyDescent="0.3">
      <c r="A604" s="50">
        <v>1869</v>
      </c>
      <c r="B604" s="51">
        <v>20001052065</v>
      </c>
      <c r="C604" s="52" t="s">
        <v>1502</v>
      </c>
      <c r="D604" s="52" t="s">
        <v>1504</v>
      </c>
      <c r="E604" s="52" t="s">
        <v>1326</v>
      </c>
      <c r="F604" s="52" t="s">
        <v>628</v>
      </c>
      <c r="G604" s="52" t="s">
        <v>213</v>
      </c>
      <c r="H604" s="52">
        <v>1</v>
      </c>
    </row>
    <row r="605" spans="1:8" ht="14.4" x14ac:dyDescent="0.3">
      <c r="A605" s="50">
        <v>1871</v>
      </c>
      <c r="B605" s="51">
        <v>20000500003</v>
      </c>
      <c r="C605" s="52" t="s">
        <v>980</v>
      </c>
      <c r="D605" s="52" t="s">
        <v>981</v>
      </c>
      <c r="E605" s="52" t="s">
        <v>982</v>
      </c>
      <c r="F605" s="52" t="s">
        <v>618</v>
      </c>
      <c r="G605" s="52" t="s">
        <v>244</v>
      </c>
      <c r="H605" s="52">
        <v>0.6</v>
      </c>
    </row>
    <row r="606" spans="1:8" ht="14.4" x14ac:dyDescent="0.3">
      <c r="A606" s="50">
        <v>1872</v>
      </c>
      <c r="B606" s="51">
        <v>20001053075</v>
      </c>
      <c r="C606" s="52" t="s">
        <v>1545</v>
      </c>
      <c r="D606" s="52" t="s">
        <v>785</v>
      </c>
      <c r="E606" s="52" t="s">
        <v>1546</v>
      </c>
      <c r="F606" s="52" t="s">
        <v>1313</v>
      </c>
      <c r="G606" s="52" t="s">
        <v>244</v>
      </c>
      <c r="H606" s="52">
        <v>1</v>
      </c>
    </row>
    <row r="607" spans="1:8" ht="14.4" x14ac:dyDescent="0.3">
      <c r="A607" s="50">
        <v>1873</v>
      </c>
      <c r="B607" s="51">
        <v>20009001113</v>
      </c>
      <c r="C607" s="52" t="s">
        <v>2174</v>
      </c>
      <c r="D607" s="52" t="s">
        <v>870</v>
      </c>
      <c r="E607" s="52" t="s">
        <v>1970</v>
      </c>
      <c r="F607" s="52" t="s">
        <v>1086</v>
      </c>
      <c r="G607" s="52" t="s">
        <v>213</v>
      </c>
      <c r="H607" s="52">
        <v>1</v>
      </c>
    </row>
    <row r="608" spans="1:8" ht="14.4" x14ac:dyDescent="0.3">
      <c r="A608" s="50">
        <v>1874</v>
      </c>
      <c r="B608" s="51">
        <v>20000330010</v>
      </c>
      <c r="C608" s="52" t="s">
        <v>856</v>
      </c>
      <c r="D608" s="52" t="s">
        <v>857</v>
      </c>
      <c r="E608" s="52" t="s">
        <v>663</v>
      </c>
      <c r="F608" s="52" t="s">
        <v>618</v>
      </c>
      <c r="G608" s="52" t="s">
        <v>244</v>
      </c>
      <c r="H608" s="52">
        <v>1</v>
      </c>
    </row>
    <row r="609" spans="1:8" ht="14.4" x14ac:dyDescent="0.3">
      <c r="A609" s="50">
        <v>1875</v>
      </c>
      <c r="B609" s="51">
        <v>20000310010</v>
      </c>
      <c r="C609" s="52" t="s">
        <v>714</v>
      </c>
      <c r="D609" s="52" t="s">
        <v>715</v>
      </c>
      <c r="E609" s="52" t="s">
        <v>3402</v>
      </c>
      <c r="F609" s="52" t="s">
        <v>618</v>
      </c>
      <c r="G609" s="52" t="s">
        <v>244</v>
      </c>
      <c r="H609" s="52">
        <v>1</v>
      </c>
    </row>
    <row r="610" spans="1:8" ht="14.4" x14ac:dyDescent="0.3">
      <c r="A610" s="50">
        <v>1876</v>
      </c>
      <c r="B610" s="51">
        <v>20000330010</v>
      </c>
      <c r="C610" s="52" t="s">
        <v>874</v>
      </c>
      <c r="D610" s="52" t="s">
        <v>679</v>
      </c>
      <c r="E610" s="52" t="s">
        <v>2930</v>
      </c>
      <c r="F610" s="52" t="s">
        <v>664</v>
      </c>
      <c r="G610" s="52" t="s">
        <v>213</v>
      </c>
      <c r="H610" s="52">
        <v>1</v>
      </c>
    </row>
    <row r="611" spans="1:8" ht="14.4" x14ac:dyDescent="0.3">
      <c r="A611" s="50">
        <v>1877</v>
      </c>
      <c r="B611" s="51">
        <v>20000520019</v>
      </c>
      <c r="C611" s="52" t="s">
        <v>696</v>
      </c>
      <c r="D611" s="52" t="s">
        <v>766</v>
      </c>
      <c r="E611" s="52" t="s">
        <v>3413</v>
      </c>
      <c r="F611" s="52" t="s">
        <v>618</v>
      </c>
      <c r="G611" s="52" t="s">
        <v>244</v>
      </c>
      <c r="H611" s="52">
        <v>1</v>
      </c>
    </row>
    <row r="612" spans="1:8" ht="14.4" x14ac:dyDescent="0.3">
      <c r="A612" s="50">
        <v>1878</v>
      </c>
      <c r="B612" s="51">
        <v>20000330010</v>
      </c>
      <c r="C612" s="52" t="s">
        <v>862</v>
      </c>
      <c r="D612" s="52" t="s">
        <v>863</v>
      </c>
      <c r="E612" s="52" t="s">
        <v>663</v>
      </c>
      <c r="F612" s="52" t="s">
        <v>664</v>
      </c>
      <c r="G612" s="52" t="s">
        <v>244</v>
      </c>
      <c r="H612" s="52">
        <v>0.5</v>
      </c>
    </row>
    <row r="613" spans="1:8" ht="14.4" x14ac:dyDescent="0.3">
      <c r="A613" s="50">
        <v>1879</v>
      </c>
      <c r="B613" s="51">
        <v>20001050115</v>
      </c>
      <c r="C613" s="52" t="s">
        <v>1874</v>
      </c>
      <c r="D613" s="52" t="s">
        <v>1875</v>
      </c>
      <c r="E613" s="52" t="s">
        <v>2943</v>
      </c>
      <c r="F613" s="52" t="s">
        <v>618</v>
      </c>
      <c r="G613" s="52" t="s">
        <v>244</v>
      </c>
      <c r="H613" s="52">
        <v>1</v>
      </c>
    </row>
    <row r="614" spans="1:8" ht="14.4" x14ac:dyDescent="0.3">
      <c r="A614" s="50">
        <v>1880</v>
      </c>
      <c r="B614" s="51">
        <v>20000330010</v>
      </c>
      <c r="C614" s="52" t="s">
        <v>851</v>
      </c>
      <c r="D614" s="52" t="s">
        <v>852</v>
      </c>
      <c r="E614" s="52" t="s">
        <v>3402</v>
      </c>
      <c r="F614" s="52" t="s">
        <v>618</v>
      </c>
      <c r="G614" s="52" t="s">
        <v>244</v>
      </c>
      <c r="H614" s="52">
        <v>1</v>
      </c>
    </row>
    <row r="615" spans="1:8" ht="14.4" x14ac:dyDescent="0.3">
      <c r="A615" s="50">
        <v>1881</v>
      </c>
      <c r="B615" s="51">
        <v>20000750022</v>
      </c>
      <c r="C615" s="52" t="s">
        <v>2527</v>
      </c>
      <c r="D615" s="52" t="s">
        <v>2528</v>
      </c>
      <c r="E615" s="52" t="s">
        <v>1248</v>
      </c>
      <c r="F615" s="52" t="s">
        <v>618</v>
      </c>
      <c r="G615" s="52" t="s">
        <v>244</v>
      </c>
      <c r="H615" s="52">
        <v>1</v>
      </c>
    </row>
    <row r="616" spans="1:8" ht="14.4" x14ac:dyDescent="0.3">
      <c r="A616" s="50">
        <v>1882</v>
      </c>
      <c r="B616" s="51">
        <v>20051001112</v>
      </c>
      <c r="C616" s="52" t="s">
        <v>2151</v>
      </c>
      <c r="D616" s="52" t="s">
        <v>1796</v>
      </c>
      <c r="E616" s="52" t="s">
        <v>2857</v>
      </c>
      <c r="F616" s="52" t="s">
        <v>620</v>
      </c>
      <c r="G616" s="52" t="s">
        <v>213</v>
      </c>
      <c r="H616" s="52">
        <v>1</v>
      </c>
    </row>
    <row r="617" spans="1:8" ht="14.4" x14ac:dyDescent="0.3">
      <c r="A617" s="36">
        <v>1883</v>
      </c>
      <c r="B617" s="36">
        <v>20001360016</v>
      </c>
      <c r="C617" s="36" t="s">
        <v>1962</v>
      </c>
      <c r="D617" s="36" t="s">
        <v>1963</v>
      </c>
      <c r="E617" s="36" t="s">
        <v>1964</v>
      </c>
      <c r="F617" s="36" t="s">
        <v>664</v>
      </c>
      <c r="G617" s="36" t="s">
        <v>213</v>
      </c>
      <c r="H617" s="36">
        <v>1</v>
      </c>
    </row>
    <row r="618" spans="1:8" ht="14.4" x14ac:dyDescent="0.3">
      <c r="A618" s="50">
        <v>1887</v>
      </c>
      <c r="B618" s="51">
        <v>20009001112</v>
      </c>
      <c r="C618" s="52" t="s">
        <v>2313</v>
      </c>
      <c r="D618" s="52" t="s">
        <v>1623</v>
      </c>
      <c r="E618" s="52" t="s">
        <v>1993</v>
      </c>
      <c r="F618" s="52" t="s">
        <v>620</v>
      </c>
      <c r="G618" s="52" t="s">
        <v>213</v>
      </c>
      <c r="H618" s="52">
        <v>1</v>
      </c>
    </row>
    <row r="619" spans="1:8" ht="14.4" x14ac:dyDescent="0.3">
      <c r="A619" s="50">
        <v>1888</v>
      </c>
      <c r="B619" s="51">
        <v>20001104092</v>
      </c>
      <c r="C619" s="52" t="s">
        <v>1819</v>
      </c>
      <c r="D619" s="52" t="s">
        <v>1591</v>
      </c>
      <c r="E619" s="52" t="s">
        <v>1642</v>
      </c>
      <c r="F619" s="52" t="s">
        <v>1086</v>
      </c>
      <c r="G619" s="52" t="s">
        <v>213</v>
      </c>
      <c r="H619" s="52">
        <v>1</v>
      </c>
    </row>
    <row r="620" spans="1:8" ht="14.4" x14ac:dyDescent="0.3">
      <c r="A620" s="50">
        <v>1889</v>
      </c>
      <c r="B620" s="51">
        <v>20001054085</v>
      </c>
      <c r="C620" s="52" t="s">
        <v>1561</v>
      </c>
      <c r="D620" s="52" t="s">
        <v>1562</v>
      </c>
      <c r="E620" s="52" t="s">
        <v>1326</v>
      </c>
      <c r="F620" s="52" t="s">
        <v>620</v>
      </c>
      <c r="G620" s="52" t="s">
        <v>213</v>
      </c>
      <c r="H620" s="52">
        <v>1</v>
      </c>
    </row>
    <row r="621" spans="1:8" ht="14.4" x14ac:dyDescent="0.3">
      <c r="A621" s="50">
        <v>1890</v>
      </c>
      <c r="B621" s="51">
        <v>20000630026</v>
      </c>
      <c r="C621" s="52" t="s">
        <v>1150</v>
      </c>
      <c r="D621" s="52" t="s">
        <v>1151</v>
      </c>
      <c r="E621" s="52" t="s">
        <v>1109</v>
      </c>
      <c r="F621" s="52" t="s">
        <v>618</v>
      </c>
      <c r="G621" s="52" t="s">
        <v>244</v>
      </c>
      <c r="H621" s="52">
        <v>1</v>
      </c>
    </row>
    <row r="622" spans="1:8" ht="14.4" x14ac:dyDescent="0.3">
      <c r="A622" s="50">
        <v>1891</v>
      </c>
      <c r="B622" s="51">
        <v>20001260017</v>
      </c>
      <c r="C622" s="52" t="s">
        <v>1930</v>
      </c>
      <c r="D622" s="52" t="s">
        <v>868</v>
      </c>
      <c r="E622" s="52" t="s">
        <v>1895</v>
      </c>
      <c r="F622" s="52" t="s">
        <v>618</v>
      </c>
      <c r="G622" s="52" t="s">
        <v>244</v>
      </c>
      <c r="H622" s="52">
        <v>1</v>
      </c>
    </row>
    <row r="623" spans="1:8" ht="14.4" x14ac:dyDescent="0.3">
      <c r="A623" s="50">
        <v>1892</v>
      </c>
      <c r="B623" s="51">
        <v>20001054089</v>
      </c>
      <c r="C623" s="52" t="s">
        <v>1607</v>
      </c>
      <c r="D623" s="52" t="s">
        <v>1608</v>
      </c>
      <c r="E623" s="52" t="s">
        <v>1326</v>
      </c>
      <c r="F623" s="52" t="s">
        <v>1086</v>
      </c>
      <c r="G623" s="52" t="s">
        <v>244</v>
      </c>
      <c r="H623" s="52">
        <v>1</v>
      </c>
    </row>
    <row r="624" spans="1:8" ht="14.4" x14ac:dyDescent="0.3">
      <c r="A624" s="50">
        <v>1893</v>
      </c>
      <c r="B624" s="51">
        <v>20000650027</v>
      </c>
      <c r="C624" s="52" t="s">
        <v>1186</v>
      </c>
      <c r="D624" s="52" t="s">
        <v>1187</v>
      </c>
      <c r="E624" s="52" t="s">
        <v>1162</v>
      </c>
      <c r="F624" s="52" t="s">
        <v>618</v>
      </c>
      <c r="G624" s="52" t="s">
        <v>213</v>
      </c>
      <c r="H624" s="52">
        <v>1</v>
      </c>
    </row>
    <row r="625" spans="1:8" ht="14.4" x14ac:dyDescent="0.3">
      <c r="A625" s="50">
        <v>1894</v>
      </c>
      <c r="B625" s="51">
        <v>20000630026</v>
      </c>
      <c r="C625" s="52" t="s">
        <v>1107</v>
      </c>
      <c r="D625" s="52" t="s">
        <v>1108</v>
      </c>
      <c r="E625" s="52" t="s">
        <v>1116</v>
      </c>
      <c r="F625" s="52" t="s">
        <v>618</v>
      </c>
      <c r="G625" s="52" t="s">
        <v>213</v>
      </c>
      <c r="H625" s="52">
        <v>1</v>
      </c>
    </row>
    <row r="626" spans="1:8" ht="14.4" x14ac:dyDescent="0.3">
      <c r="A626" s="50">
        <v>1895</v>
      </c>
      <c r="B626" s="51">
        <v>20001140004</v>
      </c>
      <c r="C626" s="52" t="s">
        <v>1842</v>
      </c>
      <c r="D626" s="52" t="s">
        <v>688</v>
      </c>
      <c r="E626" s="52" t="s">
        <v>1843</v>
      </c>
      <c r="F626" s="52" t="s">
        <v>618</v>
      </c>
      <c r="G626" s="52" t="s">
        <v>244</v>
      </c>
      <c r="H626" s="52">
        <v>1</v>
      </c>
    </row>
    <row r="627" spans="1:8" ht="14.4" x14ac:dyDescent="0.3">
      <c r="A627" s="50">
        <v>1896</v>
      </c>
      <c r="B627" s="51">
        <v>20001052065</v>
      </c>
      <c r="C627" s="52" t="s">
        <v>615</v>
      </c>
      <c r="D627" s="52" t="s">
        <v>1282</v>
      </c>
      <c r="E627" s="52" t="s">
        <v>1468</v>
      </c>
      <c r="F627" s="52" t="s">
        <v>628</v>
      </c>
      <c r="G627" s="52" t="s">
        <v>213</v>
      </c>
      <c r="H627" s="52">
        <v>1</v>
      </c>
    </row>
    <row r="628" spans="1:8" ht="14.4" x14ac:dyDescent="0.3">
      <c r="A628" s="50">
        <v>1897</v>
      </c>
      <c r="B628" s="51">
        <v>20000110105</v>
      </c>
      <c r="C628" s="52" t="s">
        <v>634</v>
      </c>
      <c r="D628" s="52" t="s">
        <v>635</v>
      </c>
      <c r="E628" s="52" t="s">
        <v>633</v>
      </c>
      <c r="F628" s="52" t="s">
        <v>628</v>
      </c>
      <c r="G628" s="52" t="s">
        <v>244</v>
      </c>
      <c r="H628" s="52">
        <v>1</v>
      </c>
    </row>
    <row r="629" spans="1:8" ht="14.4" x14ac:dyDescent="0.3">
      <c r="A629" s="50">
        <v>1898</v>
      </c>
      <c r="B629" s="51">
        <v>20009001111</v>
      </c>
      <c r="C629" s="52" t="s">
        <v>2127</v>
      </c>
      <c r="D629" s="52" t="s">
        <v>844</v>
      </c>
      <c r="E629" s="52" t="s">
        <v>1970</v>
      </c>
      <c r="F629" s="52" t="s">
        <v>1558</v>
      </c>
      <c r="G629" s="52" t="s">
        <v>244</v>
      </c>
      <c r="H629" s="52">
        <v>1</v>
      </c>
    </row>
    <row r="630" spans="1:8" ht="14.4" x14ac:dyDescent="0.3">
      <c r="A630" s="50">
        <v>1899</v>
      </c>
      <c r="B630" s="51">
        <v>20001150127</v>
      </c>
      <c r="C630" s="52" t="s">
        <v>1871</v>
      </c>
      <c r="D630" s="52" t="s">
        <v>1872</v>
      </c>
      <c r="E630" s="52" t="s">
        <v>1873</v>
      </c>
      <c r="F630" s="52" t="s">
        <v>618</v>
      </c>
      <c r="G630" s="52" t="s">
        <v>244</v>
      </c>
      <c r="H630" s="52">
        <v>1</v>
      </c>
    </row>
    <row r="631" spans="1:8" ht="14.4" x14ac:dyDescent="0.3">
      <c r="A631" s="50">
        <v>1900</v>
      </c>
      <c r="B631" s="51">
        <v>20001052065</v>
      </c>
      <c r="C631" s="52" t="s">
        <v>1486</v>
      </c>
      <c r="D631" s="52" t="s">
        <v>1487</v>
      </c>
      <c r="E631" s="52" t="s">
        <v>1326</v>
      </c>
      <c r="F631" s="52" t="s">
        <v>628</v>
      </c>
      <c r="G631" s="52" t="s">
        <v>213</v>
      </c>
      <c r="H631" s="52">
        <v>1</v>
      </c>
    </row>
    <row r="632" spans="1:8" ht="14.4" x14ac:dyDescent="0.3">
      <c r="A632" s="50">
        <v>1901</v>
      </c>
      <c r="B632" s="51">
        <v>20000950098</v>
      </c>
      <c r="C632" s="52" t="s">
        <v>1315</v>
      </c>
      <c r="D632" s="52" t="s">
        <v>1316</v>
      </c>
      <c r="E632" s="52" t="s">
        <v>1310</v>
      </c>
      <c r="F632" s="52" t="s">
        <v>2765</v>
      </c>
      <c r="G632" s="52" t="s">
        <v>244</v>
      </c>
      <c r="H632" s="52">
        <v>1</v>
      </c>
    </row>
    <row r="633" spans="1:8" ht="14.4" x14ac:dyDescent="0.3">
      <c r="A633" s="50">
        <v>1902</v>
      </c>
      <c r="B633" s="51">
        <v>20009001112</v>
      </c>
      <c r="C633" s="52" t="s">
        <v>2158</v>
      </c>
      <c r="D633" s="52" t="s">
        <v>2110</v>
      </c>
      <c r="E633" s="52" t="s">
        <v>1970</v>
      </c>
      <c r="F633" s="52" t="s">
        <v>620</v>
      </c>
      <c r="G633" s="52" t="s">
        <v>244</v>
      </c>
      <c r="H633" s="52">
        <v>1</v>
      </c>
    </row>
    <row r="634" spans="1:8" ht="14.4" x14ac:dyDescent="0.3">
      <c r="A634" s="50">
        <v>1903</v>
      </c>
      <c r="B634" s="51">
        <v>20022001113</v>
      </c>
      <c r="C634" s="52" t="s">
        <v>2225</v>
      </c>
      <c r="D634" s="52" t="s">
        <v>3308</v>
      </c>
      <c r="E634" s="52" t="s">
        <v>2100</v>
      </c>
      <c r="F634" s="52" t="s">
        <v>1086</v>
      </c>
      <c r="G634" s="52" t="s">
        <v>244</v>
      </c>
      <c r="H634" s="52">
        <v>0.6</v>
      </c>
    </row>
    <row r="635" spans="1:8" ht="14.4" x14ac:dyDescent="0.3">
      <c r="A635" s="36">
        <v>1904</v>
      </c>
      <c r="B635" s="36">
        <v>20000110105</v>
      </c>
      <c r="C635" s="36" t="s">
        <v>643</v>
      </c>
      <c r="D635" s="36" t="s">
        <v>644</v>
      </c>
      <c r="E635" s="36" t="s">
        <v>633</v>
      </c>
      <c r="F635" s="36" t="s">
        <v>628</v>
      </c>
      <c r="G635" s="36" t="s">
        <v>244</v>
      </c>
      <c r="H635" s="36">
        <v>1</v>
      </c>
    </row>
    <row r="636" spans="1:8" ht="14.4" x14ac:dyDescent="0.3">
      <c r="A636" s="50">
        <v>1905</v>
      </c>
      <c r="B636" s="51">
        <v>20051001108</v>
      </c>
      <c r="C636" s="52" t="s">
        <v>2332</v>
      </c>
      <c r="D636" s="52" t="s">
        <v>951</v>
      </c>
      <c r="E636" s="52" t="s">
        <v>1988</v>
      </c>
      <c r="F636" s="52" t="s">
        <v>628</v>
      </c>
      <c r="G636" s="52" t="s">
        <v>145</v>
      </c>
      <c r="H636" s="52">
        <v>1</v>
      </c>
    </row>
    <row r="637" spans="1:8" ht="14.4" x14ac:dyDescent="0.3">
      <c r="A637" s="36">
        <v>1906</v>
      </c>
      <c r="B637" s="36">
        <v>20000520019</v>
      </c>
      <c r="C637" s="36" t="s">
        <v>1002</v>
      </c>
      <c r="D637" s="36" t="s">
        <v>1003</v>
      </c>
      <c r="E637" s="36" t="s">
        <v>2465</v>
      </c>
      <c r="F637" s="36" t="s">
        <v>618</v>
      </c>
      <c r="G637" s="36" t="s">
        <v>244</v>
      </c>
      <c r="H637" s="36">
        <v>1</v>
      </c>
    </row>
    <row r="638" spans="1:8" ht="14.4" x14ac:dyDescent="0.3">
      <c r="A638" s="50">
        <v>1907</v>
      </c>
      <c r="B638" s="51">
        <v>20020112073</v>
      </c>
      <c r="C638" s="52" t="s">
        <v>1762</v>
      </c>
      <c r="D638" s="52" t="s">
        <v>2267</v>
      </c>
      <c r="E638" s="52" t="s">
        <v>2100</v>
      </c>
      <c r="F638" s="52" t="s">
        <v>628</v>
      </c>
      <c r="G638" s="52" t="s">
        <v>244</v>
      </c>
      <c r="H638" s="52">
        <v>1</v>
      </c>
    </row>
    <row r="639" spans="1:8" ht="14.4" x14ac:dyDescent="0.3">
      <c r="A639" s="50">
        <v>1908</v>
      </c>
      <c r="B639" s="51">
        <v>20001102068</v>
      </c>
      <c r="C639" s="52" t="s">
        <v>1759</v>
      </c>
      <c r="D639" s="52" t="s">
        <v>1352</v>
      </c>
      <c r="E639" s="52" t="s">
        <v>3431</v>
      </c>
      <c r="F639" s="52" t="s">
        <v>628</v>
      </c>
      <c r="G639" s="52" t="s">
        <v>244</v>
      </c>
      <c r="H639" s="52">
        <v>1</v>
      </c>
    </row>
    <row r="640" spans="1:8" ht="14.4" x14ac:dyDescent="0.3">
      <c r="A640" s="50">
        <v>1909</v>
      </c>
      <c r="B640" s="51">
        <v>20022001104</v>
      </c>
      <c r="C640" s="52" t="s">
        <v>1098</v>
      </c>
      <c r="D640" s="52" t="s">
        <v>2321</v>
      </c>
      <c r="E640" s="52" t="s">
        <v>3385</v>
      </c>
      <c r="F640" s="52" t="s">
        <v>620</v>
      </c>
      <c r="G640" s="52" t="s">
        <v>244</v>
      </c>
      <c r="H640" s="52">
        <v>1</v>
      </c>
    </row>
    <row r="641" spans="1:8" ht="14.4" x14ac:dyDescent="0.3">
      <c r="A641" s="36">
        <v>1912</v>
      </c>
      <c r="B641" s="36">
        <v>20000750022</v>
      </c>
      <c r="C641" s="36" t="s">
        <v>1249</v>
      </c>
      <c r="D641" s="36" t="s">
        <v>695</v>
      </c>
      <c r="E641" s="36" t="s">
        <v>1250</v>
      </c>
      <c r="F641" s="36" t="s">
        <v>618</v>
      </c>
      <c r="G641" s="36" t="s">
        <v>213</v>
      </c>
      <c r="H641" s="36">
        <v>1</v>
      </c>
    </row>
    <row r="642" spans="1:8" ht="14.4" x14ac:dyDescent="0.3">
      <c r="A642" s="50">
        <v>1914</v>
      </c>
      <c r="B642" s="51">
        <v>20000520019</v>
      </c>
      <c r="C642" s="52" t="s">
        <v>1013</v>
      </c>
      <c r="D642" s="52" t="s">
        <v>2647</v>
      </c>
      <c r="E642" s="52" t="s">
        <v>2465</v>
      </c>
      <c r="F642" s="52" t="s">
        <v>618</v>
      </c>
      <c r="G642" s="52" t="s">
        <v>213</v>
      </c>
      <c r="H642" s="52">
        <v>1</v>
      </c>
    </row>
    <row r="643" spans="1:8" ht="14.4" x14ac:dyDescent="0.3">
      <c r="A643" s="50">
        <v>1917</v>
      </c>
      <c r="B643" s="51">
        <v>20000520019</v>
      </c>
      <c r="C643" s="52" t="s">
        <v>2741</v>
      </c>
      <c r="D643" s="52" t="s">
        <v>1010</v>
      </c>
      <c r="E643" s="52" t="s">
        <v>3186</v>
      </c>
      <c r="F643" s="52" t="s">
        <v>618</v>
      </c>
      <c r="G643" s="52" t="s">
        <v>145</v>
      </c>
      <c r="H643" s="52">
        <v>1</v>
      </c>
    </row>
    <row r="644" spans="1:8" ht="14.4" x14ac:dyDescent="0.3">
      <c r="A644" s="50">
        <v>1918</v>
      </c>
      <c r="B644" s="51">
        <v>20000550020</v>
      </c>
      <c r="C644" s="52" t="s">
        <v>1012</v>
      </c>
      <c r="D644" s="52" t="s">
        <v>731</v>
      </c>
      <c r="E644" s="52" t="s">
        <v>3194</v>
      </c>
      <c r="F644" s="52" t="s">
        <v>618</v>
      </c>
      <c r="G644" s="52" t="s">
        <v>213</v>
      </c>
      <c r="H644" s="52">
        <v>1</v>
      </c>
    </row>
    <row r="645" spans="1:8" ht="14.4" x14ac:dyDescent="0.3">
      <c r="A645" s="50">
        <v>1919</v>
      </c>
      <c r="B645" s="51">
        <v>20000330010</v>
      </c>
      <c r="C645" s="52" t="s">
        <v>716</v>
      </c>
      <c r="D645" s="52" t="s">
        <v>717</v>
      </c>
      <c r="E645" s="52" t="s">
        <v>2930</v>
      </c>
      <c r="F645" s="52" t="s">
        <v>664</v>
      </c>
      <c r="G645" s="52" t="s">
        <v>244</v>
      </c>
      <c r="H645" s="52">
        <v>1</v>
      </c>
    </row>
    <row r="646" spans="1:8" ht="14.4" x14ac:dyDescent="0.3">
      <c r="A646" s="50">
        <v>1920</v>
      </c>
      <c r="B646" s="51">
        <v>20021052108</v>
      </c>
      <c r="C646" s="52" t="s">
        <v>2291</v>
      </c>
      <c r="D646" s="52" t="s">
        <v>981</v>
      </c>
      <c r="E646" s="52" t="s">
        <v>2289</v>
      </c>
      <c r="F646" s="52" t="s">
        <v>628</v>
      </c>
      <c r="G646" s="52" t="s">
        <v>244</v>
      </c>
      <c r="H646" s="52">
        <v>1</v>
      </c>
    </row>
    <row r="647" spans="1:8" ht="14.4" x14ac:dyDescent="0.3">
      <c r="A647" s="50">
        <v>1921</v>
      </c>
      <c r="B647" s="51">
        <v>20001260017</v>
      </c>
      <c r="C647" s="52" t="s">
        <v>1915</v>
      </c>
      <c r="D647" s="52" t="s">
        <v>1916</v>
      </c>
      <c r="E647" s="52" t="s">
        <v>1917</v>
      </c>
      <c r="F647" s="52" t="s">
        <v>618</v>
      </c>
      <c r="G647" s="52" t="s">
        <v>244</v>
      </c>
      <c r="H647" s="52">
        <v>1</v>
      </c>
    </row>
    <row r="648" spans="1:8" ht="14.4" x14ac:dyDescent="0.3">
      <c r="A648" s="50">
        <v>1922</v>
      </c>
      <c r="B648" s="51">
        <v>20001054085</v>
      </c>
      <c r="C648" s="52" t="s">
        <v>1588</v>
      </c>
      <c r="D648" s="52" t="s">
        <v>1036</v>
      </c>
      <c r="E648" s="52" t="s">
        <v>1326</v>
      </c>
      <c r="F648" s="52" t="s">
        <v>620</v>
      </c>
      <c r="G648" s="52" t="s">
        <v>244</v>
      </c>
      <c r="H648" s="52">
        <v>1</v>
      </c>
    </row>
    <row r="649" spans="1:8" ht="14.4" x14ac:dyDescent="0.3">
      <c r="A649" s="50">
        <v>1923</v>
      </c>
      <c r="B649" s="51">
        <v>20001140004</v>
      </c>
      <c r="C649" s="52" t="s">
        <v>1846</v>
      </c>
      <c r="D649" s="52" t="s">
        <v>1318</v>
      </c>
      <c r="E649" s="52" t="s">
        <v>1847</v>
      </c>
      <c r="F649" s="52" t="s">
        <v>618</v>
      </c>
      <c r="G649" s="52" t="s">
        <v>244</v>
      </c>
      <c r="H649" s="52">
        <v>1</v>
      </c>
    </row>
    <row r="650" spans="1:8" ht="14.4" x14ac:dyDescent="0.3">
      <c r="A650" s="50">
        <v>1924</v>
      </c>
      <c r="B650" s="51">
        <v>20001350113</v>
      </c>
      <c r="C650" s="52" t="s">
        <v>1886</v>
      </c>
      <c r="D650" s="52" t="s">
        <v>741</v>
      </c>
      <c r="E650" s="52" t="s">
        <v>1945</v>
      </c>
      <c r="F650" s="52" t="s">
        <v>618</v>
      </c>
      <c r="G650" s="52" t="s">
        <v>213</v>
      </c>
      <c r="H650" s="52">
        <v>1</v>
      </c>
    </row>
    <row r="651" spans="1:8" ht="14.4" x14ac:dyDescent="0.3">
      <c r="A651" s="50">
        <v>1925</v>
      </c>
      <c r="B651" s="51">
        <v>20001052069</v>
      </c>
      <c r="C651" s="52" t="s">
        <v>1539</v>
      </c>
      <c r="D651" s="52" t="s">
        <v>2897</v>
      </c>
      <c r="E651" s="52" t="s">
        <v>1326</v>
      </c>
      <c r="F651" s="52" t="s">
        <v>1532</v>
      </c>
      <c r="G651" s="52" t="s">
        <v>244</v>
      </c>
      <c r="H651" s="52">
        <v>1</v>
      </c>
    </row>
    <row r="652" spans="1:8" ht="14.4" x14ac:dyDescent="0.3">
      <c r="A652" s="50">
        <v>1926</v>
      </c>
      <c r="B652" s="51">
        <v>20000570009</v>
      </c>
      <c r="C652" s="52" t="s">
        <v>1029</v>
      </c>
      <c r="D652" s="52" t="s">
        <v>1030</v>
      </c>
      <c r="E652" s="52" t="s">
        <v>1049</v>
      </c>
      <c r="F652" s="52" t="s">
        <v>618</v>
      </c>
      <c r="G652" s="52" t="s">
        <v>145</v>
      </c>
      <c r="H652" s="52">
        <v>1</v>
      </c>
    </row>
    <row r="653" spans="1:8" ht="14.4" x14ac:dyDescent="0.3">
      <c r="A653" s="50">
        <v>1927</v>
      </c>
      <c r="B653" s="51">
        <v>20009001112</v>
      </c>
      <c r="C653" s="52" t="s">
        <v>2133</v>
      </c>
      <c r="D653" s="52" t="s">
        <v>1105</v>
      </c>
      <c r="E653" s="52" t="s">
        <v>1970</v>
      </c>
      <c r="F653" s="52" t="s">
        <v>620</v>
      </c>
      <c r="G653" s="52" t="s">
        <v>213</v>
      </c>
      <c r="H653" s="52">
        <v>1</v>
      </c>
    </row>
    <row r="654" spans="1:8" ht="14.4" x14ac:dyDescent="0.3">
      <c r="A654" s="50">
        <v>1928</v>
      </c>
      <c r="B654" s="51">
        <v>20001054085</v>
      </c>
      <c r="C654" s="52" t="s">
        <v>1599</v>
      </c>
      <c r="D654" s="52" t="s">
        <v>1600</v>
      </c>
      <c r="E654" s="52" t="s">
        <v>1326</v>
      </c>
      <c r="F654" s="52" t="s">
        <v>620</v>
      </c>
      <c r="G654" s="52" t="s">
        <v>244</v>
      </c>
      <c r="H654" s="52">
        <v>1</v>
      </c>
    </row>
    <row r="655" spans="1:8" ht="14.4" x14ac:dyDescent="0.3">
      <c r="A655" s="50">
        <v>1929</v>
      </c>
      <c r="B655" s="51">
        <v>20022001101</v>
      </c>
      <c r="C655" s="52" t="s">
        <v>2300</v>
      </c>
      <c r="D655" s="52" t="s">
        <v>715</v>
      </c>
      <c r="E655" s="52" t="s">
        <v>2100</v>
      </c>
      <c r="F655" s="52" t="s">
        <v>656</v>
      </c>
      <c r="G655" s="52" t="s">
        <v>213</v>
      </c>
      <c r="H655" s="52">
        <v>1</v>
      </c>
    </row>
    <row r="656" spans="1:8" ht="14.4" x14ac:dyDescent="0.3">
      <c r="A656" s="50">
        <v>1931</v>
      </c>
      <c r="B656" s="51">
        <v>20001140004</v>
      </c>
      <c r="C656" s="52" t="s">
        <v>1862</v>
      </c>
      <c r="D656" s="52" t="s">
        <v>855</v>
      </c>
      <c r="E656" s="52" t="s">
        <v>1845</v>
      </c>
      <c r="F656" s="52" t="s">
        <v>618</v>
      </c>
      <c r="G656" s="52" t="s">
        <v>244</v>
      </c>
      <c r="H656" s="52">
        <v>1</v>
      </c>
    </row>
    <row r="657" spans="1:8" ht="14.4" x14ac:dyDescent="0.3">
      <c r="A657" s="50">
        <v>1932</v>
      </c>
      <c r="B657" s="51">
        <v>20000950162</v>
      </c>
      <c r="C657" s="52" t="s">
        <v>707</v>
      </c>
      <c r="D657" s="52" t="s">
        <v>746</v>
      </c>
      <c r="E657" s="52" t="s">
        <v>3754</v>
      </c>
      <c r="F657" s="52" t="s">
        <v>628</v>
      </c>
      <c r="G657" s="52" t="s">
        <v>213</v>
      </c>
      <c r="H657" s="52">
        <v>1</v>
      </c>
    </row>
    <row r="658" spans="1:8" ht="14.4" x14ac:dyDescent="0.3">
      <c r="A658" s="50">
        <v>1933</v>
      </c>
      <c r="B658" s="51">
        <v>20051001112</v>
      </c>
      <c r="C658" s="52" t="s">
        <v>2159</v>
      </c>
      <c r="D658" s="52" t="s">
        <v>825</v>
      </c>
      <c r="E658" s="52" t="s">
        <v>1988</v>
      </c>
      <c r="F658" s="52" t="s">
        <v>620</v>
      </c>
      <c r="G658" s="52" t="s">
        <v>244</v>
      </c>
      <c r="H658" s="52">
        <v>1</v>
      </c>
    </row>
    <row r="659" spans="1:8" ht="14.4" x14ac:dyDescent="0.3">
      <c r="A659" s="36">
        <v>1936</v>
      </c>
      <c r="B659" s="36">
        <v>20001054085</v>
      </c>
      <c r="C659" s="36" t="s">
        <v>649</v>
      </c>
      <c r="D659" s="36" t="s">
        <v>1623</v>
      </c>
      <c r="E659" s="36" t="s">
        <v>1468</v>
      </c>
      <c r="F659" s="36" t="s">
        <v>620</v>
      </c>
      <c r="G659" s="36" t="s">
        <v>213</v>
      </c>
      <c r="H659" s="36">
        <v>1</v>
      </c>
    </row>
    <row r="660" spans="1:8" ht="14.4" x14ac:dyDescent="0.3">
      <c r="A660" s="50">
        <v>1939</v>
      </c>
      <c r="B660" s="51">
        <v>20000650029</v>
      </c>
      <c r="C660" s="52" t="s">
        <v>3567</v>
      </c>
      <c r="D660" s="52" t="s">
        <v>1045</v>
      </c>
      <c r="E660" s="52" t="s">
        <v>1046</v>
      </c>
      <c r="F660" s="52" t="s">
        <v>618</v>
      </c>
      <c r="G660" s="52" t="s">
        <v>213</v>
      </c>
      <c r="H660" s="52">
        <v>1</v>
      </c>
    </row>
    <row r="661" spans="1:8" ht="14.4" x14ac:dyDescent="0.3">
      <c r="A661" s="50">
        <v>1940</v>
      </c>
      <c r="B661" s="51">
        <v>20001104094</v>
      </c>
      <c r="C661" s="52" t="s">
        <v>1797</v>
      </c>
      <c r="D661" s="52" t="s">
        <v>1519</v>
      </c>
      <c r="E661" s="52" t="s">
        <v>1745</v>
      </c>
      <c r="F661" s="52" t="s">
        <v>620</v>
      </c>
      <c r="G661" s="52" t="s">
        <v>213</v>
      </c>
      <c r="H661" s="52">
        <v>1</v>
      </c>
    </row>
    <row r="662" spans="1:8" ht="14.4" x14ac:dyDescent="0.3">
      <c r="A662" s="50">
        <v>1941</v>
      </c>
      <c r="B662" s="51">
        <v>20000630026</v>
      </c>
      <c r="C662" s="52" t="s">
        <v>1123</v>
      </c>
      <c r="D662" s="52" t="s">
        <v>1124</v>
      </c>
      <c r="E662" s="52" t="s">
        <v>1109</v>
      </c>
      <c r="F662" s="52" t="s">
        <v>618</v>
      </c>
      <c r="G662" s="52" t="s">
        <v>213</v>
      </c>
      <c r="H662" s="52">
        <v>1</v>
      </c>
    </row>
    <row r="663" spans="1:8" ht="14.4" x14ac:dyDescent="0.3">
      <c r="A663" s="50">
        <v>1942</v>
      </c>
      <c r="B663" s="51">
        <v>20022001102</v>
      </c>
      <c r="C663" s="52" t="s">
        <v>2298</v>
      </c>
      <c r="D663" s="52" t="s">
        <v>2299</v>
      </c>
      <c r="E663" s="52" t="s">
        <v>3432</v>
      </c>
      <c r="F663" s="52" t="s">
        <v>628</v>
      </c>
      <c r="G663" s="52" t="s">
        <v>244</v>
      </c>
      <c r="H663" s="52">
        <v>1</v>
      </c>
    </row>
    <row r="664" spans="1:8" ht="14.4" x14ac:dyDescent="0.3">
      <c r="A664" s="50">
        <v>1944</v>
      </c>
      <c r="B664" s="51">
        <v>20001140004</v>
      </c>
      <c r="C664" s="52" t="s">
        <v>1838</v>
      </c>
      <c r="D664" s="52" t="s">
        <v>688</v>
      </c>
      <c r="E664" s="52" t="s">
        <v>1745</v>
      </c>
      <c r="F664" s="52" t="s">
        <v>618</v>
      </c>
      <c r="G664" s="52" t="s">
        <v>244</v>
      </c>
      <c r="H664" s="52">
        <v>1</v>
      </c>
    </row>
    <row r="665" spans="1:8" ht="14.4" x14ac:dyDescent="0.3">
      <c r="A665" s="50">
        <v>1946</v>
      </c>
      <c r="B665" s="51">
        <v>20001102064</v>
      </c>
      <c r="C665" s="52" t="s">
        <v>1702</v>
      </c>
      <c r="D665" s="52" t="s">
        <v>1703</v>
      </c>
      <c r="E665" s="52" t="s">
        <v>1631</v>
      </c>
      <c r="F665" s="52" t="s">
        <v>1441</v>
      </c>
      <c r="G665" s="52" t="s">
        <v>213</v>
      </c>
      <c r="H665" s="52">
        <v>1</v>
      </c>
    </row>
    <row r="666" spans="1:8" ht="14.4" x14ac:dyDescent="0.3">
      <c r="A666" s="50">
        <v>1947</v>
      </c>
      <c r="B666" s="51">
        <v>20009001113</v>
      </c>
      <c r="C666" s="52" t="s">
        <v>2155</v>
      </c>
      <c r="D666" s="52" t="s">
        <v>2173</v>
      </c>
      <c r="E666" s="52" t="s">
        <v>1970</v>
      </c>
      <c r="F666" s="52" t="s">
        <v>1086</v>
      </c>
      <c r="G666" s="52" t="s">
        <v>213</v>
      </c>
      <c r="H666" s="52">
        <v>1</v>
      </c>
    </row>
    <row r="667" spans="1:8" ht="14.4" x14ac:dyDescent="0.3">
      <c r="A667" s="50">
        <v>1948</v>
      </c>
      <c r="B667" s="51">
        <v>20020094087</v>
      </c>
      <c r="C667" s="52" t="s">
        <v>2175</v>
      </c>
      <c r="D667" s="52" t="s">
        <v>2147</v>
      </c>
      <c r="E667" s="52" t="s">
        <v>3423</v>
      </c>
      <c r="F667" s="52" t="s">
        <v>620</v>
      </c>
      <c r="G667" s="52" t="s">
        <v>244</v>
      </c>
      <c r="H667" s="52">
        <v>1</v>
      </c>
    </row>
    <row r="668" spans="1:8" ht="14.4" x14ac:dyDescent="0.3">
      <c r="A668" s="50">
        <v>1949</v>
      </c>
      <c r="B668" s="51">
        <v>20001054089</v>
      </c>
      <c r="C668" s="52" t="s">
        <v>1606</v>
      </c>
      <c r="D668" s="52" t="s">
        <v>1172</v>
      </c>
      <c r="E668" s="52" t="s">
        <v>1326</v>
      </c>
      <c r="F668" s="52" t="s">
        <v>1086</v>
      </c>
      <c r="G668" s="52" t="s">
        <v>244</v>
      </c>
      <c r="H668" s="52">
        <v>1</v>
      </c>
    </row>
    <row r="669" spans="1:8" ht="14.4" x14ac:dyDescent="0.3">
      <c r="A669" s="50">
        <v>1950</v>
      </c>
      <c r="B669" s="51">
        <v>20001052061</v>
      </c>
      <c r="C669" s="52" t="s">
        <v>1439</v>
      </c>
      <c r="D669" s="52" t="s">
        <v>1440</v>
      </c>
      <c r="E669" s="52" t="s">
        <v>1326</v>
      </c>
      <c r="F669" s="52" t="s">
        <v>1441</v>
      </c>
      <c r="G669" s="52" t="s">
        <v>213</v>
      </c>
      <c r="H669" s="52">
        <v>1</v>
      </c>
    </row>
    <row r="670" spans="1:8" ht="14.4" x14ac:dyDescent="0.3">
      <c r="A670" s="50">
        <v>1951</v>
      </c>
      <c r="B670" s="51">
        <v>20000330012</v>
      </c>
      <c r="C670" s="52" t="s">
        <v>2817</v>
      </c>
      <c r="D670" s="52" t="s">
        <v>908</v>
      </c>
      <c r="E670" s="52" t="s">
        <v>663</v>
      </c>
      <c r="F670" s="52" t="s">
        <v>777</v>
      </c>
      <c r="G670" s="52" t="s">
        <v>244</v>
      </c>
      <c r="H670" s="52">
        <v>1</v>
      </c>
    </row>
    <row r="671" spans="1:8" ht="14.4" x14ac:dyDescent="0.3">
      <c r="A671" s="50">
        <v>1952</v>
      </c>
      <c r="B671" s="51">
        <v>20000310012</v>
      </c>
      <c r="C671" s="52" t="s">
        <v>796</v>
      </c>
      <c r="D671" s="52" t="s">
        <v>797</v>
      </c>
      <c r="E671" s="52" t="s">
        <v>2929</v>
      </c>
      <c r="F671" s="52" t="s">
        <v>777</v>
      </c>
      <c r="G671" s="52" t="s">
        <v>244</v>
      </c>
      <c r="H671" s="52">
        <v>0.5</v>
      </c>
    </row>
    <row r="672" spans="1:8" ht="14.4" x14ac:dyDescent="0.3">
      <c r="A672" s="50">
        <v>1953</v>
      </c>
      <c r="B672" s="51">
        <v>20000310012</v>
      </c>
      <c r="C672" s="52" t="s">
        <v>817</v>
      </c>
      <c r="D672" s="52" t="s">
        <v>818</v>
      </c>
      <c r="E672" s="52" t="s">
        <v>663</v>
      </c>
      <c r="F672" s="52" t="s">
        <v>777</v>
      </c>
      <c r="G672" s="52" t="s">
        <v>244</v>
      </c>
      <c r="H672" s="52">
        <v>1</v>
      </c>
    </row>
    <row r="673" spans="1:8" ht="14.4" x14ac:dyDescent="0.3">
      <c r="A673" s="50">
        <v>1954</v>
      </c>
      <c r="B673" s="51">
        <v>20051001108</v>
      </c>
      <c r="C673" s="52" t="s">
        <v>2326</v>
      </c>
      <c r="D673" s="52" t="s">
        <v>2327</v>
      </c>
      <c r="E673" s="52" t="s">
        <v>1988</v>
      </c>
      <c r="F673" s="52" t="s">
        <v>628</v>
      </c>
      <c r="G673" s="52" t="s">
        <v>213</v>
      </c>
      <c r="H673" s="52">
        <v>1</v>
      </c>
    </row>
    <row r="674" spans="1:8" ht="14.4" x14ac:dyDescent="0.3">
      <c r="A674" s="36">
        <v>1955</v>
      </c>
      <c r="B674" s="36">
        <v>20001104092</v>
      </c>
      <c r="C674" s="36" t="s">
        <v>1085</v>
      </c>
      <c r="D674" s="36" t="s">
        <v>855</v>
      </c>
      <c r="E674" s="36" t="s">
        <v>3410</v>
      </c>
      <c r="F674" s="36" t="s">
        <v>1086</v>
      </c>
      <c r="G674" s="36" t="s">
        <v>244</v>
      </c>
      <c r="H674" s="36">
        <v>1</v>
      </c>
    </row>
    <row r="675" spans="1:8" ht="14.4" x14ac:dyDescent="0.3">
      <c r="A675" s="50">
        <v>1956</v>
      </c>
      <c r="B675" s="51">
        <v>20001052069</v>
      </c>
      <c r="C675" s="52" t="s">
        <v>2818</v>
      </c>
      <c r="D675" s="52" t="s">
        <v>729</v>
      </c>
      <c r="E675" s="52" t="s">
        <v>1326</v>
      </c>
      <c r="F675" s="52" t="s">
        <v>1532</v>
      </c>
      <c r="G675" s="52" t="s">
        <v>244</v>
      </c>
      <c r="H675" s="52">
        <v>1</v>
      </c>
    </row>
    <row r="676" spans="1:8" ht="14.4" x14ac:dyDescent="0.3">
      <c r="A676" s="50">
        <v>1957</v>
      </c>
      <c r="B676" s="51">
        <v>20001140128</v>
      </c>
      <c r="C676" s="52" t="s">
        <v>1863</v>
      </c>
      <c r="D676" s="52" t="s">
        <v>1864</v>
      </c>
      <c r="E676" s="52" t="s">
        <v>1845</v>
      </c>
      <c r="F676" s="52" t="s">
        <v>618</v>
      </c>
      <c r="G676" s="52" t="s">
        <v>213</v>
      </c>
      <c r="H676" s="52">
        <v>1</v>
      </c>
    </row>
    <row r="677" spans="1:8" ht="14.4" x14ac:dyDescent="0.3">
      <c r="A677" s="50">
        <v>1958</v>
      </c>
      <c r="B677" s="51">
        <v>20020094091</v>
      </c>
      <c r="C677" s="52" t="s">
        <v>2251</v>
      </c>
      <c r="D677" s="52" t="s">
        <v>2252</v>
      </c>
      <c r="E677" s="52" t="s">
        <v>2237</v>
      </c>
      <c r="F677" s="52" t="s">
        <v>1086</v>
      </c>
      <c r="G677" s="52" t="s">
        <v>244</v>
      </c>
      <c r="H677" s="52">
        <v>1</v>
      </c>
    </row>
    <row r="678" spans="1:8" ht="14.4" x14ac:dyDescent="0.3">
      <c r="A678" s="50">
        <v>1959</v>
      </c>
      <c r="B678" s="51">
        <v>20000650027</v>
      </c>
      <c r="C678" s="52" t="s">
        <v>1185</v>
      </c>
      <c r="D678" s="52" t="s">
        <v>859</v>
      </c>
      <c r="E678" s="52" t="s">
        <v>3395</v>
      </c>
      <c r="F678" s="52" t="s">
        <v>618</v>
      </c>
      <c r="G678" s="52" t="s">
        <v>244</v>
      </c>
      <c r="H678" s="52">
        <v>1</v>
      </c>
    </row>
    <row r="679" spans="1:8" ht="14.4" x14ac:dyDescent="0.3">
      <c r="A679" s="50">
        <v>1960</v>
      </c>
      <c r="B679" s="51">
        <v>20000310010</v>
      </c>
      <c r="C679" s="52" t="s">
        <v>677</v>
      </c>
      <c r="D679" s="52" t="s">
        <v>668</v>
      </c>
      <c r="E679" s="52" t="s">
        <v>663</v>
      </c>
      <c r="F679" s="52" t="s">
        <v>664</v>
      </c>
      <c r="G679" s="52" t="s">
        <v>244</v>
      </c>
      <c r="H679" s="52">
        <v>1</v>
      </c>
    </row>
    <row r="680" spans="1:8" ht="14.4" x14ac:dyDescent="0.3">
      <c r="A680" s="50">
        <v>1961</v>
      </c>
      <c r="B680" s="51">
        <v>20009001109</v>
      </c>
      <c r="C680" s="52" t="s">
        <v>2104</v>
      </c>
      <c r="D680" s="52" t="s">
        <v>1806</v>
      </c>
      <c r="E680" s="52" t="s">
        <v>1988</v>
      </c>
      <c r="F680" s="52" t="s">
        <v>1532</v>
      </c>
      <c r="G680" s="52" t="s">
        <v>244</v>
      </c>
      <c r="H680" s="52">
        <v>1</v>
      </c>
    </row>
    <row r="681" spans="1:8" ht="14.4" x14ac:dyDescent="0.3">
      <c r="A681" s="50">
        <v>1962</v>
      </c>
      <c r="B681" s="51">
        <v>20009001112</v>
      </c>
      <c r="C681" s="52" t="s">
        <v>1098</v>
      </c>
      <c r="D681" s="52" t="s">
        <v>2147</v>
      </c>
      <c r="E681" s="52" t="s">
        <v>1970</v>
      </c>
      <c r="F681" s="52" t="s">
        <v>620</v>
      </c>
      <c r="G681" s="52" t="s">
        <v>213</v>
      </c>
      <c r="H681" s="52">
        <v>1</v>
      </c>
    </row>
    <row r="682" spans="1:8" ht="14.4" x14ac:dyDescent="0.3">
      <c r="A682" s="50">
        <v>1963</v>
      </c>
      <c r="B682" s="51">
        <v>20000650027</v>
      </c>
      <c r="C682" s="52" t="s">
        <v>902</v>
      </c>
      <c r="D682" s="52" t="s">
        <v>1179</v>
      </c>
      <c r="E682" s="52" t="s">
        <v>3395</v>
      </c>
      <c r="F682" s="52" t="s">
        <v>618</v>
      </c>
      <c r="G682" s="52" t="s">
        <v>244</v>
      </c>
      <c r="H682" s="52">
        <v>1</v>
      </c>
    </row>
    <row r="683" spans="1:8" ht="14.4" x14ac:dyDescent="0.3">
      <c r="A683" s="50">
        <v>1964</v>
      </c>
      <c r="B683" s="51">
        <v>20060110034</v>
      </c>
      <c r="C683" s="52" t="s">
        <v>2272</v>
      </c>
      <c r="D683" s="52" t="s">
        <v>2358</v>
      </c>
      <c r="E683" s="52" t="s">
        <v>3185</v>
      </c>
      <c r="F683" s="52" t="s">
        <v>618</v>
      </c>
      <c r="G683" s="52" t="s">
        <v>213</v>
      </c>
      <c r="H683" s="52">
        <v>1</v>
      </c>
    </row>
    <row r="684" spans="1:8" ht="14.4" x14ac:dyDescent="0.3">
      <c r="A684" s="36">
        <v>1965</v>
      </c>
      <c r="B684" s="36">
        <v>20000950132</v>
      </c>
      <c r="C684" s="36" t="s">
        <v>1314</v>
      </c>
      <c r="D684" s="36" t="s">
        <v>1078</v>
      </c>
      <c r="E684" s="36" t="s">
        <v>2771</v>
      </c>
      <c r="F684" s="36" t="s">
        <v>2765</v>
      </c>
      <c r="G684" s="36" t="s">
        <v>244</v>
      </c>
      <c r="H684" s="36">
        <v>1</v>
      </c>
    </row>
    <row r="685" spans="1:8" ht="14.4" x14ac:dyDescent="0.3">
      <c r="A685" s="50">
        <v>1966</v>
      </c>
      <c r="B685" s="51">
        <v>20000500003</v>
      </c>
      <c r="C685" s="52" t="s">
        <v>971</v>
      </c>
      <c r="D685" s="52" t="s">
        <v>2529</v>
      </c>
      <c r="E685" s="52" t="s">
        <v>2670</v>
      </c>
      <c r="F685" s="52" t="s">
        <v>618</v>
      </c>
      <c r="G685" s="52" t="s">
        <v>213</v>
      </c>
      <c r="H685" s="52">
        <v>1</v>
      </c>
    </row>
    <row r="686" spans="1:8" ht="14.4" x14ac:dyDescent="0.3">
      <c r="A686" s="50">
        <v>1967</v>
      </c>
      <c r="B686" s="51">
        <v>20000650027</v>
      </c>
      <c r="C686" s="52" t="s">
        <v>1155</v>
      </c>
      <c r="D686" s="52" t="s">
        <v>1156</v>
      </c>
      <c r="E686" s="52" t="s">
        <v>3433</v>
      </c>
      <c r="F686" s="52" t="s">
        <v>618</v>
      </c>
      <c r="G686" s="52" t="s">
        <v>213</v>
      </c>
      <c r="H686" s="52">
        <v>1</v>
      </c>
    </row>
    <row r="687" spans="1:8" ht="14.4" x14ac:dyDescent="0.3">
      <c r="A687" s="50">
        <v>1968</v>
      </c>
      <c r="B687" s="51">
        <v>20000550020</v>
      </c>
      <c r="C687" s="52" t="s">
        <v>1006</v>
      </c>
      <c r="D687" s="52" t="s">
        <v>1007</v>
      </c>
      <c r="E687" s="52" t="s">
        <v>2591</v>
      </c>
      <c r="F687" s="52" t="s">
        <v>618</v>
      </c>
      <c r="G687" s="52" t="s">
        <v>244</v>
      </c>
      <c r="H687" s="52">
        <v>1</v>
      </c>
    </row>
    <row r="688" spans="1:8" ht="14.4" x14ac:dyDescent="0.3">
      <c r="A688" s="50">
        <v>1969</v>
      </c>
      <c r="B688" s="51">
        <v>20000550020</v>
      </c>
      <c r="C688" s="52" t="s">
        <v>1020</v>
      </c>
      <c r="D688" s="52" t="s">
        <v>783</v>
      </c>
      <c r="E688" s="52" t="s">
        <v>1011</v>
      </c>
      <c r="F688" s="52" t="s">
        <v>618</v>
      </c>
      <c r="G688" s="52" t="s">
        <v>244</v>
      </c>
      <c r="H688" s="52">
        <v>1</v>
      </c>
    </row>
    <row r="689" spans="1:8" ht="14.4" x14ac:dyDescent="0.3">
      <c r="A689" s="50">
        <v>1970</v>
      </c>
      <c r="B689" s="51">
        <v>20001150127</v>
      </c>
      <c r="C689" s="52" t="s">
        <v>1877</v>
      </c>
      <c r="D689" s="52" t="s">
        <v>1156</v>
      </c>
      <c r="E689" s="52" t="s">
        <v>1878</v>
      </c>
      <c r="F689" s="52" t="s">
        <v>618</v>
      </c>
      <c r="G689" s="52" t="s">
        <v>244</v>
      </c>
      <c r="H689" s="52">
        <v>1</v>
      </c>
    </row>
    <row r="690" spans="1:8" ht="14.4" x14ac:dyDescent="0.3">
      <c r="A690" s="50">
        <v>1971</v>
      </c>
      <c r="B690" s="51">
        <v>20001290018</v>
      </c>
      <c r="C690" s="52" t="s">
        <v>1884</v>
      </c>
      <c r="D690" s="52" t="s">
        <v>1885</v>
      </c>
      <c r="E690" s="52" t="s">
        <v>2469</v>
      </c>
      <c r="F690" s="52" t="s">
        <v>618</v>
      </c>
      <c r="G690" s="52" t="s">
        <v>244</v>
      </c>
      <c r="H690" s="52">
        <v>1</v>
      </c>
    </row>
    <row r="691" spans="1:8" ht="14.4" x14ac:dyDescent="0.3">
      <c r="A691" s="50">
        <v>1972</v>
      </c>
      <c r="B691" s="51">
        <v>20001054112</v>
      </c>
      <c r="C691" s="52" t="s">
        <v>1624</v>
      </c>
      <c r="D691" s="52" t="s">
        <v>1104</v>
      </c>
      <c r="E691" s="52" t="s">
        <v>3161</v>
      </c>
      <c r="F691" s="52" t="s">
        <v>628</v>
      </c>
      <c r="G691" s="52" t="s">
        <v>244</v>
      </c>
      <c r="H691" s="52">
        <v>1</v>
      </c>
    </row>
    <row r="692" spans="1:8" ht="14.4" x14ac:dyDescent="0.3">
      <c r="A692" s="50">
        <v>1974</v>
      </c>
      <c r="B692" s="51">
        <v>20000500003</v>
      </c>
      <c r="C692" s="52" t="s">
        <v>967</v>
      </c>
      <c r="D692" s="52" t="s">
        <v>968</v>
      </c>
      <c r="E692" s="52" t="s">
        <v>970</v>
      </c>
      <c r="F692" s="52" t="s">
        <v>618</v>
      </c>
      <c r="G692" s="52" t="s">
        <v>244</v>
      </c>
      <c r="H692" s="52">
        <v>1</v>
      </c>
    </row>
    <row r="693" spans="1:8" ht="14.4" x14ac:dyDescent="0.3">
      <c r="A693" s="50">
        <v>1975</v>
      </c>
      <c r="B693" s="51">
        <v>20000550020</v>
      </c>
      <c r="C693" s="52" t="s">
        <v>1014</v>
      </c>
      <c r="D693" s="52" t="s">
        <v>908</v>
      </c>
      <c r="E693" s="52" t="s">
        <v>2819</v>
      </c>
      <c r="F693" s="52" t="s">
        <v>618</v>
      </c>
      <c r="G693" s="52" t="s">
        <v>244</v>
      </c>
      <c r="H693" s="52">
        <v>1</v>
      </c>
    </row>
    <row r="694" spans="1:8" ht="14.4" x14ac:dyDescent="0.3">
      <c r="A694" s="50">
        <v>1976</v>
      </c>
      <c r="B694" s="51">
        <v>20001140000</v>
      </c>
      <c r="C694" s="52" t="s">
        <v>3503</v>
      </c>
      <c r="D694" s="52" t="s">
        <v>1146</v>
      </c>
      <c r="E694" s="52" t="s">
        <v>3755</v>
      </c>
      <c r="F694" s="52" t="s">
        <v>618</v>
      </c>
      <c r="G694" s="52" t="s">
        <v>213</v>
      </c>
      <c r="H694" s="52">
        <v>1</v>
      </c>
    </row>
    <row r="695" spans="1:8" ht="14.4" x14ac:dyDescent="0.3">
      <c r="A695" s="50">
        <v>1977</v>
      </c>
      <c r="B695" s="51">
        <v>20001260017</v>
      </c>
      <c r="C695" s="52" t="s">
        <v>836</v>
      </c>
      <c r="D695" s="52" t="s">
        <v>1553</v>
      </c>
      <c r="E695" s="52" t="s">
        <v>2820</v>
      </c>
      <c r="F695" s="52" t="s">
        <v>618</v>
      </c>
      <c r="G695" s="52" t="s">
        <v>244</v>
      </c>
      <c r="H695" s="52">
        <v>1</v>
      </c>
    </row>
    <row r="696" spans="1:8" ht="14.4" x14ac:dyDescent="0.3">
      <c r="A696" s="50">
        <v>1978</v>
      </c>
      <c r="B696" s="51">
        <v>20001102068</v>
      </c>
      <c r="C696" s="52" t="s">
        <v>1746</v>
      </c>
      <c r="D696" s="52" t="s">
        <v>912</v>
      </c>
      <c r="E696" s="52" t="s">
        <v>1716</v>
      </c>
      <c r="F696" s="52" t="s">
        <v>628</v>
      </c>
      <c r="G696" s="52" t="s">
        <v>244</v>
      </c>
      <c r="H696" s="52">
        <v>1</v>
      </c>
    </row>
    <row r="697" spans="1:8" ht="14.4" x14ac:dyDescent="0.3">
      <c r="A697" s="50">
        <v>1979</v>
      </c>
      <c r="B697" s="51">
        <v>20000520019</v>
      </c>
      <c r="C697" s="52" t="s">
        <v>990</v>
      </c>
      <c r="D697" s="52" t="s">
        <v>991</v>
      </c>
      <c r="E697" s="52" t="s">
        <v>3793</v>
      </c>
      <c r="F697" s="52" t="s">
        <v>618</v>
      </c>
      <c r="G697" s="52" t="s">
        <v>213</v>
      </c>
      <c r="H697" s="52">
        <v>1</v>
      </c>
    </row>
    <row r="698" spans="1:8" ht="14.4" x14ac:dyDescent="0.3">
      <c r="A698" s="50">
        <v>1980</v>
      </c>
      <c r="B698" s="51">
        <v>20017290157</v>
      </c>
      <c r="C698" s="52" t="s">
        <v>1937</v>
      </c>
      <c r="D698" s="52" t="s">
        <v>1668</v>
      </c>
      <c r="E698" s="52" t="s">
        <v>3637</v>
      </c>
      <c r="F698" s="52" t="s">
        <v>618</v>
      </c>
      <c r="G698" s="52" t="s">
        <v>213</v>
      </c>
      <c r="H698" s="52">
        <v>1</v>
      </c>
    </row>
    <row r="699" spans="1:8" ht="14.4" x14ac:dyDescent="0.3">
      <c r="A699" s="50">
        <v>1981</v>
      </c>
      <c r="B699" s="51">
        <v>20009001113</v>
      </c>
      <c r="C699" s="52" t="s">
        <v>2324</v>
      </c>
      <c r="D699" s="52" t="s">
        <v>2325</v>
      </c>
      <c r="E699" s="52" t="s">
        <v>1970</v>
      </c>
      <c r="F699" s="52" t="s">
        <v>1086</v>
      </c>
      <c r="G699" s="52" t="s">
        <v>213</v>
      </c>
      <c r="H699" s="52">
        <v>1</v>
      </c>
    </row>
    <row r="700" spans="1:8" ht="14.4" x14ac:dyDescent="0.3">
      <c r="A700" s="50">
        <v>1982</v>
      </c>
      <c r="B700" s="51">
        <v>20009001109</v>
      </c>
      <c r="C700" s="52" t="s">
        <v>2420</v>
      </c>
      <c r="D700" s="52" t="s">
        <v>752</v>
      </c>
      <c r="E700" s="52" t="s">
        <v>1970</v>
      </c>
      <c r="F700" s="52" t="s">
        <v>1532</v>
      </c>
      <c r="G700" s="52" t="s">
        <v>244</v>
      </c>
      <c r="H700" s="52">
        <v>1</v>
      </c>
    </row>
    <row r="701" spans="1:8" ht="14.4" x14ac:dyDescent="0.3">
      <c r="A701" s="50">
        <v>1983</v>
      </c>
      <c r="B701" s="51">
        <v>20000950098</v>
      </c>
      <c r="C701" s="52" t="s">
        <v>2409</v>
      </c>
      <c r="D701" s="52" t="s">
        <v>2410</v>
      </c>
      <c r="E701" s="52" t="s">
        <v>1310</v>
      </c>
      <c r="F701" s="52" t="s">
        <v>2765</v>
      </c>
      <c r="G701" s="52" t="s">
        <v>244</v>
      </c>
      <c r="H701" s="52">
        <v>1</v>
      </c>
    </row>
    <row r="702" spans="1:8" ht="14.4" x14ac:dyDescent="0.3">
      <c r="A702" s="50">
        <v>1984</v>
      </c>
      <c r="B702" s="51">
        <v>20001260017</v>
      </c>
      <c r="C702" s="52" t="s">
        <v>2418</v>
      </c>
      <c r="D702" s="52" t="s">
        <v>2419</v>
      </c>
      <c r="E702" s="52" t="s">
        <v>1895</v>
      </c>
      <c r="F702" s="52" t="s">
        <v>618</v>
      </c>
      <c r="G702" s="52" t="s">
        <v>145</v>
      </c>
      <c r="H702" s="52">
        <v>1</v>
      </c>
    </row>
    <row r="703" spans="1:8" ht="14.4" x14ac:dyDescent="0.3">
      <c r="A703" s="50">
        <v>1985</v>
      </c>
      <c r="B703" s="51">
        <v>20020054086</v>
      </c>
      <c r="C703" s="52" t="s">
        <v>1598</v>
      </c>
      <c r="D703" s="52" t="s">
        <v>752</v>
      </c>
      <c r="E703" s="52" t="s">
        <v>2209</v>
      </c>
      <c r="F703" s="52" t="s">
        <v>620</v>
      </c>
      <c r="G703" s="52" t="s">
        <v>244</v>
      </c>
      <c r="H703" s="52">
        <v>1</v>
      </c>
    </row>
    <row r="704" spans="1:8" ht="14.4" x14ac:dyDescent="0.3">
      <c r="A704" s="50">
        <v>1986</v>
      </c>
      <c r="B704" s="51">
        <v>20001104088</v>
      </c>
      <c r="C704" s="52" t="s">
        <v>2413</v>
      </c>
      <c r="D704" s="52" t="s">
        <v>2414</v>
      </c>
      <c r="E704" s="52" t="s">
        <v>1716</v>
      </c>
      <c r="F704" s="52" t="s">
        <v>620</v>
      </c>
      <c r="G704" s="52" t="s">
        <v>244</v>
      </c>
      <c r="H704" s="52">
        <v>1</v>
      </c>
    </row>
    <row r="705" spans="1:8" ht="14.4" x14ac:dyDescent="0.3">
      <c r="A705" s="50">
        <v>1987</v>
      </c>
      <c r="B705" s="51">
        <v>20020040010</v>
      </c>
      <c r="C705" s="52" t="s">
        <v>2412</v>
      </c>
      <c r="D705" s="52" t="s">
        <v>1897</v>
      </c>
      <c r="E705" s="52" t="s">
        <v>3358</v>
      </c>
      <c r="F705" s="52" t="s">
        <v>628</v>
      </c>
      <c r="G705" s="52" t="s">
        <v>213</v>
      </c>
      <c r="H705" s="52">
        <v>1</v>
      </c>
    </row>
    <row r="706" spans="1:8" ht="14.4" x14ac:dyDescent="0.3">
      <c r="A706" s="50">
        <v>1988</v>
      </c>
      <c r="B706" s="51">
        <v>20001140004</v>
      </c>
      <c r="C706" s="52" t="s">
        <v>836</v>
      </c>
      <c r="D706" s="52" t="s">
        <v>2417</v>
      </c>
      <c r="E706" s="52" t="s">
        <v>1843</v>
      </c>
      <c r="F706" s="52" t="s">
        <v>618</v>
      </c>
      <c r="G706" s="52" t="s">
        <v>244</v>
      </c>
      <c r="H706" s="52">
        <v>1</v>
      </c>
    </row>
    <row r="707" spans="1:8" ht="14.4" x14ac:dyDescent="0.3">
      <c r="A707" s="50">
        <v>1989</v>
      </c>
      <c r="B707" s="51">
        <v>20001104092</v>
      </c>
      <c r="C707" s="52" t="s">
        <v>2415</v>
      </c>
      <c r="D707" s="52" t="s">
        <v>2416</v>
      </c>
      <c r="E707" s="52" t="s">
        <v>1639</v>
      </c>
      <c r="F707" s="52" t="s">
        <v>1086</v>
      </c>
      <c r="G707" s="52" t="s">
        <v>244</v>
      </c>
      <c r="H707" s="52">
        <v>1</v>
      </c>
    </row>
    <row r="708" spans="1:8" ht="14.4" x14ac:dyDescent="0.3">
      <c r="A708" s="50">
        <v>1993</v>
      </c>
      <c r="B708" s="51">
        <v>20000340010</v>
      </c>
      <c r="C708" s="52" t="s">
        <v>2426</v>
      </c>
      <c r="D708" s="52" t="s">
        <v>2427</v>
      </c>
      <c r="E708" s="52" t="s">
        <v>3309</v>
      </c>
      <c r="F708" s="52" t="s">
        <v>664</v>
      </c>
      <c r="G708" s="52" t="s">
        <v>213</v>
      </c>
      <c r="H708" s="52">
        <v>1</v>
      </c>
    </row>
    <row r="709" spans="1:8" ht="14.4" x14ac:dyDescent="0.3">
      <c r="A709" s="50">
        <v>1995</v>
      </c>
      <c r="B709" s="51">
        <v>20022001102</v>
      </c>
      <c r="C709" s="52" t="s">
        <v>2433</v>
      </c>
      <c r="D709" s="52" t="s">
        <v>818</v>
      </c>
      <c r="E709" s="52" t="s">
        <v>2100</v>
      </c>
      <c r="F709" s="52" t="s">
        <v>628</v>
      </c>
      <c r="G709" s="52" t="s">
        <v>213</v>
      </c>
      <c r="H709" s="52">
        <v>1</v>
      </c>
    </row>
    <row r="710" spans="1:8" ht="14.4" x14ac:dyDescent="0.3">
      <c r="A710" s="50">
        <v>1996</v>
      </c>
      <c r="B710" s="51">
        <v>20022001102</v>
      </c>
      <c r="C710" s="52" t="s">
        <v>2434</v>
      </c>
      <c r="D710" s="52" t="s">
        <v>2435</v>
      </c>
      <c r="E710" s="52" t="s">
        <v>2100</v>
      </c>
      <c r="F710" s="52" t="s">
        <v>628</v>
      </c>
      <c r="G710" s="52" t="s">
        <v>244</v>
      </c>
      <c r="H710" s="52">
        <v>1</v>
      </c>
    </row>
    <row r="711" spans="1:8" ht="14.4" x14ac:dyDescent="0.3">
      <c r="A711" s="50">
        <v>1999</v>
      </c>
      <c r="B711" s="51">
        <v>20001102068</v>
      </c>
      <c r="C711" s="52" t="s">
        <v>2443</v>
      </c>
      <c r="D711" s="52" t="s">
        <v>828</v>
      </c>
      <c r="E711" s="52" t="s">
        <v>1837</v>
      </c>
      <c r="F711" s="52" t="s">
        <v>628</v>
      </c>
      <c r="G711" s="52" t="s">
        <v>244</v>
      </c>
      <c r="H711" s="52">
        <v>1</v>
      </c>
    </row>
    <row r="712" spans="1:8" ht="14.4" x14ac:dyDescent="0.3">
      <c r="A712" s="50">
        <v>2000</v>
      </c>
      <c r="B712" s="51">
        <v>20009001112</v>
      </c>
      <c r="C712" s="52" t="s">
        <v>2494</v>
      </c>
      <c r="D712" s="52" t="s">
        <v>1610</v>
      </c>
      <c r="E712" s="52" t="s">
        <v>1993</v>
      </c>
      <c r="F712" s="52" t="s">
        <v>620</v>
      </c>
      <c r="G712" s="52" t="s">
        <v>244</v>
      </c>
      <c r="H712" s="52">
        <v>1</v>
      </c>
    </row>
    <row r="713" spans="1:8" ht="14.4" x14ac:dyDescent="0.3">
      <c r="A713" s="50">
        <v>2001</v>
      </c>
      <c r="B713" s="51">
        <v>20001101056</v>
      </c>
      <c r="C713" s="52" t="s">
        <v>922</v>
      </c>
      <c r="D713" s="52" t="s">
        <v>890</v>
      </c>
      <c r="E713" s="52" t="s">
        <v>3359</v>
      </c>
      <c r="F713" s="52" t="s">
        <v>656</v>
      </c>
      <c r="G713" s="52" t="s">
        <v>244</v>
      </c>
      <c r="H713" s="52">
        <v>1</v>
      </c>
    </row>
    <row r="714" spans="1:8" ht="14.4" x14ac:dyDescent="0.3">
      <c r="A714" s="50">
        <v>2002</v>
      </c>
      <c r="B714" s="51">
        <v>20001101056</v>
      </c>
      <c r="C714" s="52" t="s">
        <v>1361</v>
      </c>
      <c r="D714" s="52" t="s">
        <v>1689</v>
      </c>
      <c r="E714" s="52" t="s">
        <v>3434</v>
      </c>
      <c r="F714" s="52" t="s">
        <v>656</v>
      </c>
      <c r="G714" s="52" t="s">
        <v>244</v>
      </c>
      <c r="H714" s="52">
        <v>1</v>
      </c>
    </row>
    <row r="715" spans="1:8" ht="14.4" x14ac:dyDescent="0.3">
      <c r="A715" s="50">
        <v>2009</v>
      </c>
      <c r="B715" s="51">
        <v>20000660028</v>
      </c>
      <c r="C715" s="52" t="s">
        <v>1203</v>
      </c>
      <c r="D715" s="52" t="s">
        <v>715</v>
      </c>
      <c r="E715" s="52" t="s">
        <v>1204</v>
      </c>
      <c r="F715" s="52" t="s">
        <v>656</v>
      </c>
      <c r="G715" s="52" t="s">
        <v>213</v>
      </c>
      <c r="H715" s="52">
        <v>1</v>
      </c>
    </row>
    <row r="716" spans="1:8" ht="14.4" x14ac:dyDescent="0.3">
      <c r="A716" s="50">
        <v>2014</v>
      </c>
      <c r="B716" s="51">
        <v>20009001102</v>
      </c>
      <c r="C716" s="52" t="s">
        <v>1978</v>
      </c>
      <c r="D716" s="52" t="s">
        <v>865</v>
      </c>
      <c r="E716" s="52" t="s">
        <v>1970</v>
      </c>
      <c r="F716" s="52" t="s">
        <v>656</v>
      </c>
      <c r="G716" s="52" t="s">
        <v>213</v>
      </c>
      <c r="H716" s="52">
        <v>1</v>
      </c>
    </row>
    <row r="717" spans="1:8" ht="14.4" x14ac:dyDescent="0.3">
      <c r="A717" s="50">
        <v>2015</v>
      </c>
      <c r="B717" s="51">
        <v>20000950103</v>
      </c>
      <c r="C717" s="52" t="s">
        <v>1317</v>
      </c>
      <c r="D717" s="52" t="s">
        <v>1318</v>
      </c>
      <c r="E717" s="52" t="s">
        <v>1319</v>
      </c>
      <c r="F717" s="52" t="s">
        <v>618</v>
      </c>
      <c r="G717" s="52" t="s">
        <v>213</v>
      </c>
      <c r="H717" s="52">
        <v>1</v>
      </c>
    </row>
    <row r="718" spans="1:8" ht="14.4" x14ac:dyDescent="0.3">
      <c r="A718" s="50">
        <v>2016</v>
      </c>
      <c r="B718" s="51">
        <v>20000570121</v>
      </c>
      <c r="C718" s="52" t="s">
        <v>1051</v>
      </c>
      <c r="D718" s="52" t="s">
        <v>695</v>
      </c>
      <c r="E718" s="52" t="s">
        <v>1031</v>
      </c>
      <c r="F718" s="52" t="s">
        <v>656</v>
      </c>
      <c r="G718" s="52" t="s">
        <v>244</v>
      </c>
      <c r="H718" s="52">
        <v>1</v>
      </c>
    </row>
    <row r="719" spans="1:8" ht="14.4" x14ac:dyDescent="0.3">
      <c r="A719" s="50">
        <v>2018</v>
      </c>
      <c r="B719" s="51">
        <v>20001051054</v>
      </c>
      <c r="C719" s="52" t="s">
        <v>1422</v>
      </c>
      <c r="D719" s="52" t="s">
        <v>1403</v>
      </c>
      <c r="E719" s="52" t="s">
        <v>1423</v>
      </c>
      <c r="F719" s="52" t="s">
        <v>656</v>
      </c>
      <c r="G719" s="52" t="s">
        <v>213</v>
      </c>
      <c r="H719" s="52">
        <v>1</v>
      </c>
    </row>
    <row r="720" spans="1:8" ht="14.4" x14ac:dyDescent="0.3">
      <c r="A720" s="50">
        <v>2033</v>
      </c>
      <c r="B720" s="51">
        <v>20020111055</v>
      </c>
      <c r="C720" s="52" t="s">
        <v>1688</v>
      </c>
      <c r="D720" s="52" t="s">
        <v>1247</v>
      </c>
      <c r="E720" s="52" t="s">
        <v>2237</v>
      </c>
      <c r="F720" s="52" t="s">
        <v>656</v>
      </c>
      <c r="G720" s="52" t="s">
        <v>213</v>
      </c>
      <c r="H720" s="52">
        <v>1</v>
      </c>
    </row>
    <row r="721" spans="1:8" ht="14.4" x14ac:dyDescent="0.3">
      <c r="A721" s="50">
        <v>2034</v>
      </c>
      <c r="B721" s="51">
        <v>20000570121</v>
      </c>
      <c r="C721" s="52" t="s">
        <v>980</v>
      </c>
      <c r="D721" s="52" t="s">
        <v>923</v>
      </c>
      <c r="E721" s="52" t="s">
        <v>3138</v>
      </c>
      <c r="F721" s="52" t="s">
        <v>656</v>
      </c>
      <c r="G721" s="52" t="s">
        <v>213</v>
      </c>
      <c r="H721" s="52">
        <v>1</v>
      </c>
    </row>
    <row r="722" spans="1:8" ht="14.4" x14ac:dyDescent="0.3">
      <c r="A722" s="50">
        <v>2035</v>
      </c>
      <c r="B722" s="51">
        <v>20000570121</v>
      </c>
      <c r="C722" s="52" t="s">
        <v>1050</v>
      </c>
      <c r="D722" s="52" t="s">
        <v>846</v>
      </c>
      <c r="E722" s="52" t="s">
        <v>3138</v>
      </c>
      <c r="F722" s="52" t="s">
        <v>656</v>
      </c>
      <c r="G722" s="52" t="s">
        <v>213</v>
      </c>
      <c r="H722" s="52">
        <v>1</v>
      </c>
    </row>
    <row r="723" spans="1:8" ht="14.4" x14ac:dyDescent="0.3">
      <c r="A723" s="50">
        <v>2037</v>
      </c>
      <c r="B723" s="51">
        <v>20001101056</v>
      </c>
      <c r="C723" s="52" t="s">
        <v>1674</v>
      </c>
      <c r="D723" s="52" t="s">
        <v>715</v>
      </c>
      <c r="E723" s="52" t="s">
        <v>1642</v>
      </c>
      <c r="F723" s="52" t="s">
        <v>656</v>
      </c>
      <c r="G723" s="52" t="s">
        <v>213</v>
      </c>
      <c r="H723" s="52">
        <v>1</v>
      </c>
    </row>
    <row r="724" spans="1:8" ht="14.4" x14ac:dyDescent="0.3">
      <c r="A724" s="50">
        <v>2044</v>
      </c>
      <c r="B724" s="51">
        <v>20000830030</v>
      </c>
      <c r="C724" s="52" t="s">
        <v>1281</v>
      </c>
      <c r="D724" s="52" t="s">
        <v>1282</v>
      </c>
      <c r="E724" s="52" t="s">
        <v>1283</v>
      </c>
      <c r="F724" s="52" t="s">
        <v>656</v>
      </c>
      <c r="G724" s="52" t="s">
        <v>213</v>
      </c>
      <c r="H724" s="52">
        <v>1</v>
      </c>
    </row>
    <row r="725" spans="1:8" ht="14.4" x14ac:dyDescent="0.3">
      <c r="A725" s="50">
        <v>2053</v>
      </c>
      <c r="B725" s="51">
        <v>20001051054</v>
      </c>
      <c r="C725" s="52" t="s">
        <v>1054</v>
      </c>
      <c r="D725" s="52" t="s">
        <v>1055</v>
      </c>
      <c r="E725" s="52" t="s">
        <v>1426</v>
      </c>
      <c r="F725" s="52" t="s">
        <v>656</v>
      </c>
      <c r="G725" s="52" t="s">
        <v>213</v>
      </c>
      <c r="H725" s="52">
        <v>1</v>
      </c>
    </row>
    <row r="726" spans="1:8" ht="14.4" x14ac:dyDescent="0.3">
      <c r="A726" s="50">
        <v>2063</v>
      </c>
      <c r="B726" s="51">
        <v>20001101056</v>
      </c>
      <c r="C726" s="52" t="s">
        <v>1064</v>
      </c>
      <c r="D726" s="52" t="s">
        <v>1677</v>
      </c>
      <c r="E726" s="52" t="s">
        <v>3434</v>
      </c>
      <c r="F726" s="52" t="s">
        <v>656</v>
      </c>
      <c r="G726" s="52" t="s">
        <v>244</v>
      </c>
      <c r="H726" s="52">
        <v>1</v>
      </c>
    </row>
    <row r="727" spans="1:8" ht="14.4" x14ac:dyDescent="0.3">
      <c r="A727" s="50">
        <v>2066</v>
      </c>
      <c r="B727" s="51">
        <v>20001101056</v>
      </c>
      <c r="C727" s="52" t="s">
        <v>683</v>
      </c>
      <c r="D727" s="52" t="s">
        <v>676</v>
      </c>
      <c r="E727" s="52" t="s">
        <v>1631</v>
      </c>
      <c r="F727" s="52" t="s">
        <v>656</v>
      </c>
      <c r="G727" s="52" t="s">
        <v>244</v>
      </c>
      <c r="H727" s="52">
        <v>1</v>
      </c>
    </row>
    <row r="728" spans="1:8" ht="14.4" x14ac:dyDescent="0.3">
      <c r="A728" s="50">
        <v>2091</v>
      </c>
      <c r="B728" s="51">
        <v>20000950103</v>
      </c>
      <c r="C728" s="52" t="s">
        <v>1321</v>
      </c>
      <c r="D728" s="52" t="s">
        <v>1322</v>
      </c>
      <c r="E728" s="52" t="s">
        <v>1320</v>
      </c>
      <c r="F728" s="52" t="s">
        <v>656</v>
      </c>
      <c r="G728" s="52" t="s">
        <v>244</v>
      </c>
      <c r="H728" s="52">
        <v>1</v>
      </c>
    </row>
    <row r="729" spans="1:8" ht="14.4" x14ac:dyDescent="0.3">
      <c r="A729" s="50">
        <v>2094</v>
      </c>
      <c r="B729" s="51">
        <v>20000360011</v>
      </c>
      <c r="C729" s="52" t="s">
        <v>952</v>
      </c>
      <c r="D729" s="52" t="s">
        <v>953</v>
      </c>
      <c r="E729" s="52" t="s">
        <v>3435</v>
      </c>
      <c r="F729" s="52" t="s">
        <v>656</v>
      </c>
      <c r="G729" s="52" t="s">
        <v>244</v>
      </c>
      <c r="H729" s="52">
        <v>1</v>
      </c>
    </row>
    <row r="730" spans="1:8" ht="14.4" x14ac:dyDescent="0.3">
      <c r="A730" s="50">
        <v>2095</v>
      </c>
      <c r="B730" s="51">
        <v>20020111055</v>
      </c>
      <c r="C730" s="52" t="s">
        <v>2256</v>
      </c>
      <c r="D730" s="52" t="s">
        <v>1360</v>
      </c>
      <c r="E730" s="52" t="s">
        <v>2237</v>
      </c>
      <c r="F730" s="52" t="s">
        <v>656</v>
      </c>
      <c r="G730" s="52" t="s">
        <v>213</v>
      </c>
      <c r="H730" s="52">
        <v>1</v>
      </c>
    </row>
    <row r="731" spans="1:8" ht="14.4" x14ac:dyDescent="0.3">
      <c r="A731" s="50">
        <v>2106</v>
      </c>
      <c r="B731" s="51">
        <v>20001051054</v>
      </c>
      <c r="C731" s="52" t="s">
        <v>1424</v>
      </c>
      <c r="D731" s="52" t="s">
        <v>1425</v>
      </c>
      <c r="E731" s="52" t="s">
        <v>1426</v>
      </c>
      <c r="F731" s="52" t="s">
        <v>656</v>
      </c>
      <c r="G731" s="52" t="s">
        <v>244</v>
      </c>
      <c r="H731" s="52">
        <v>1</v>
      </c>
    </row>
    <row r="732" spans="1:8" ht="14.4" x14ac:dyDescent="0.3">
      <c r="A732" s="50">
        <v>2109</v>
      </c>
      <c r="B732" s="51">
        <v>20020053076</v>
      </c>
      <c r="C732" s="52" t="s">
        <v>2222</v>
      </c>
      <c r="D732" s="52" t="s">
        <v>964</v>
      </c>
      <c r="E732" s="52" t="s">
        <v>2209</v>
      </c>
      <c r="F732" s="52" t="s">
        <v>1313</v>
      </c>
      <c r="G732" s="52" t="s">
        <v>213</v>
      </c>
      <c r="H732" s="52">
        <v>1</v>
      </c>
    </row>
    <row r="733" spans="1:8" ht="14.4" x14ac:dyDescent="0.3">
      <c r="A733" s="50">
        <v>2111</v>
      </c>
      <c r="B733" s="51">
        <v>20001101056</v>
      </c>
      <c r="C733" s="52" t="s">
        <v>1691</v>
      </c>
      <c r="D733" s="52" t="s">
        <v>1692</v>
      </c>
      <c r="E733" s="52" t="s">
        <v>1631</v>
      </c>
      <c r="F733" s="52" t="s">
        <v>656</v>
      </c>
      <c r="G733" s="52" t="s">
        <v>213</v>
      </c>
      <c r="H733" s="52">
        <v>1</v>
      </c>
    </row>
    <row r="734" spans="1:8" ht="14.4" x14ac:dyDescent="0.3">
      <c r="A734" s="50">
        <v>2118</v>
      </c>
      <c r="B734" s="51">
        <v>20001101045</v>
      </c>
      <c r="C734" s="52" t="s">
        <v>1640</v>
      </c>
      <c r="D734" s="52" t="s">
        <v>1613</v>
      </c>
      <c r="E734" s="52" t="s">
        <v>1631</v>
      </c>
      <c r="F734" s="52" t="s">
        <v>1056</v>
      </c>
      <c r="G734" s="52" t="s">
        <v>213</v>
      </c>
      <c r="H734" s="52">
        <v>1</v>
      </c>
    </row>
    <row r="735" spans="1:8" ht="14.4" x14ac:dyDescent="0.3">
      <c r="A735" s="50">
        <v>2119</v>
      </c>
      <c r="B735" s="51">
        <v>20000570121</v>
      </c>
      <c r="C735" s="52" t="s">
        <v>1057</v>
      </c>
      <c r="D735" s="52" t="s">
        <v>1058</v>
      </c>
      <c r="E735" s="52" t="s">
        <v>1031</v>
      </c>
      <c r="F735" s="52" t="s">
        <v>1056</v>
      </c>
      <c r="G735" s="52" t="s">
        <v>244</v>
      </c>
      <c r="H735" s="52">
        <v>1</v>
      </c>
    </row>
    <row r="736" spans="1:8" ht="14.4" x14ac:dyDescent="0.3">
      <c r="A736" s="50">
        <v>2122</v>
      </c>
      <c r="B736" s="51">
        <v>20001101056</v>
      </c>
      <c r="C736" s="52" t="s">
        <v>1515</v>
      </c>
      <c r="D736" s="52" t="s">
        <v>1687</v>
      </c>
      <c r="E736" s="52" t="s">
        <v>3434</v>
      </c>
      <c r="F736" s="52" t="s">
        <v>656</v>
      </c>
      <c r="G736" s="52" t="s">
        <v>244</v>
      </c>
      <c r="H736" s="52">
        <v>1</v>
      </c>
    </row>
    <row r="737" spans="1:8" ht="14.4" x14ac:dyDescent="0.3">
      <c r="A737" s="50">
        <v>2129</v>
      </c>
      <c r="B737" s="51">
        <v>20062050133</v>
      </c>
      <c r="C737" s="52" t="s">
        <v>1379</v>
      </c>
      <c r="D737" s="52" t="s">
        <v>686</v>
      </c>
      <c r="E737" s="52" t="s">
        <v>3436</v>
      </c>
      <c r="F737" s="52" t="s">
        <v>1056</v>
      </c>
      <c r="G737" s="52" t="s">
        <v>213</v>
      </c>
      <c r="H737" s="52">
        <v>1</v>
      </c>
    </row>
    <row r="738" spans="1:8" ht="14.4" x14ac:dyDescent="0.3">
      <c r="A738" s="36">
        <v>2132</v>
      </c>
      <c r="B738" s="36">
        <v>20000830030</v>
      </c>
      <c r="C738" s="36" t="s">
        <v>1284</v>
      </c>
      <c r="D738" s="36" t="s">
        <v>741</v>
      </c>
      <c r="E738" s="36" t="s">
        <v>3437</v>
      </c>
      <c r="F738" s="36" t="s">
        <v>656</v>
      </c>
      <c r="G738" s="36" t="s">
        <v>244</v>
      </c>
      <c r="H738" s="36">
        <v>1</v>
      </c>
    </row>
    <row r="739" spans="1:8" ht="14.4" x14ac:dyDescent="0.3">
      <c r="A739" s="50">
        <v>2133</v>
      </c>
      <c r="B739" s="51">
        <v>20001101053</v>
      </c>
      <c r="C739" s="52" t="s">
        <v>1670</v>
      </c>
      <c r="D739" s="52" t="s">
        <v>704</v>
      </c>
      <c r="E739" s="52" t="s">
        <v>1639</v>
      </c>
      <c r="F739" s="52" t="s">
        <v>1410</v>
      </c>
      <c r="G739" s="52" t="s">
        <v>213</v>
      </c>
      <c r="H739" s="52">
        <v>1</v>
      </c>
    </row>
    <row r="740" spans="1:8" ht="14.4" x14ac:dyDescent="0.3">
      <c r="A740" s="50">
        <v>2136</v>
      </c>
      <c r="B740" s="51">
        <v>20000570121</v>
      </c>
      <c r="C740" s="52" t="s">
        <v>1052</v>
      </c>
      <c r="D740" s="52" t="s">
        <v>1053</v>
      </c>
      <c r="E740" s="52" t="s">
        <v>1031</v>
      </c>
      <c r="F740" s="52" t="s">
        <v>656</v>
      </c>
      <c r="G740" s="52" t="s">
        <v>213</v>
      </c>
      <c r="H740" s="52">
        <v>1</v>
      </c>
    </row>
    <row r="741" spans="1:8" ht="14.4" x14ac:dyDescent="0.3">
      <c r="A741" s="50">
        <v>2138</v>
      </c>
      <c r="B741" s="51">
        <v>20020111055</v>
      </c>
      <c r="C741" s="52" t="s">
        <v>2254</v>
      </c>
      <c r="D741" s="52" t="s">
        <v>2255</v>
      </c>
      <c r="E741" s="52" t="s">
        <v>2646</v>
      </c>
      <c r="F741" s="52" t="s">
        <v>656</v>
      </c>
      <c r="G741" s="52" t="s">
        <v>213</v>
      </c>
      <c r="H741" s="52">
        <v>1</v>
      </c>
    </row>
    <row r="742" spans="1:8" ht="14.4" x14ac:dyDescent="0.3">
      <c r="A742" s="50">
        <v>2140</v>
      </c>
      <c r="B742" s="51">
        <v>20000310012</v>
      </c>
      <c r="C742" s="52" t="s">
        <v>824</v>
      </c>
      <c r="D742" s="52" t="s">
        <v>825</v>
      </c>
      <c r="E742" s="52" t="s">
        <v>3438</v>
      </c>
      <c r="F742" s="52" t="s">
        <v>775</v>
      </c>
      <c r="G742" s="52" t="s">
        <v>244</v>
      </c>
      <c r="H742" s="52">
        <v>1</v>
      </c>
    </row>
    <row r="743" spans="1:8" ht="14.4" x14ac:dyDescent="0.3">
      <c r="A743" s="50">
        <v>2146</v>
      </c>
      <c r="B743" s="51">
        <v>20001101056</v>
      </c>
      <c r="C743" s="52" t="s">
        <v>1678</v>
      </c>
      <c r="D743" s="52" t="s">
        <v>1170</v>
      </c>
      <c r="E743" s="52" t="s">
        <v>1642</v>
      </c>
      <c r="F743" s="52" t="s">
        <v>656</v>
      </c>
      <c r="G743" s="52" t="s">
        <v>244</v>
      </c>
      <c r="H743" s="52">
        <v>1</v>
      </c>
    </row>
    <row r="744" spans="1:8" ht="14.4" x14ac:dyDescent="0.3">
      <c r="A744" s="50">
        <v>2147</v>
      </c>
      <c r="B744" s="51">
        <v>20000360012</v>
      </c>
      <c r="C744" s="52" t="s">
        <v>957</v>
      </c>
      <c r="D744" s="52" t="s">
        <v>958</v>
      </c>
      <c r="E744" s="52" t="s">
        <v>959</v>
      </c>
      <c r="F744" s="52" t="s">
        <v>775</v>
      </c>
      <c r="G744" s="52" t="s">
        <v>244</v>
      </c>
      <c r="H744" s="52">
        <v>1</v>
      </c>
    </row>
    <row r="745" spans="1:8" ht="14.4" x14ac:dyDescent="0.3">
      <c r="A745" s="50">
        <v>2151</v>
      </c>
      <c r="B745" s="51">
        <v>20001101045</v>
      </c>
      <c r="C745" s="52" t="s">
        <v>2742</v>
      </c>
      <c r="D745" s="52" t="s">
        <v>1641</v>
      </c>
      <c r="E745" s="52" t="s">
        <v>1642</v>
      </c>
      <c r="F745" s="52" t="s">
        <v>1056</v>
      </c>
      <c r="G745" s="52" t="s">
        <v>213</v>
      </c>
      <c r="H745" s="52">
        <v>1</v>
      </c>
    </row>
    <row r="746" spans="1:8" ht="14.4" x14ac:dyDescent="0.3">
      <c r="A746" s="50">
        <v>2153</v>
      </c>
      <c r="B746" s="51">
        <v>20000920001</v>
      </c>
      <c r="C746" s="52" t="s">
        <v>1291</v>
      </c>
      <c r="D746" s="52" t="s">
        <v>1292</v>
      </c>
      <c r="E746" s="52" t="s">
        <v>1293</v>
      </c>
      <c r="F746" s="52" t="s">
        <v>656</v>
      </c>
      <c r="G746" s="52" t="s">
        <v>244</v>
      </c>
      <c r="H746" s="52">
        <v>1</v>
      </c>
    </row>
    <row r="747" spans="1:8" ht="14.4" x14ac:dyDescent="0.3">
      <c r="A747" s="50">
        <v>2158</v>
      </c>
      <c r="B747" s="51">
        <v>20000310012</v>
      </c>
      <c r="C747" s="52" t="s">
        <v>800</v>
      </c>
      <c r="D747" s="52" t="s">
        <v>785</v>
      </c>
      <c r="E747" s="52" t="s">
        <v>2929</v>
      </c>
      <c r="F747" s="52" t="s">
        <v>777</v>
      </c>
      <c r="G747" s="52" t="s">
        <v>244</v>
      </c>
      <c r="H747" s="52">
        <v>1</v>
      </c>
    </row>
    <row r="748" spans="1:8" ht="14.4" x14ac:dyDescent="0.3">
      <c r="A748" s="50">
        <v>2160</v>
      </c>
      <c r="B748" s="51">
        <v>20000310012</v>
      </c>
      <c r="C748" s="52" t="s">
        <v>778</v>
      </c>
      <c r="D748" s="52" t="s">
        <v>779</v>
      </c>
      <c r="E748" s="52" t="s">
        <v>3439</v>
      </c>
      <c r="F748" s="52" t="s">
        <v>775</v>
      </c>
      <c r="G748" s="52" t="s">
        <v>244</v>
      </c>
      <c r="H748" s="52">
        <v>1</v>
      </c>
    </row>
    <row r="749" spans="1:8" ht="14.4" x14ac:dyDescent="0.3">
      <c r="A749" s="50">
        <v>2165</v>
      </c>
      <c r="B749" s="51">
        <v>20000330012</v>
      </c>
      <c r="C749" s="52" t="s">
        <v>899</v>
      </c>
      <c r="D749" s="52" t="s">
        <v>900</v>
      </c>
      <c r="E749" s="52" t="s">
        <v>663</v>
      </c>
      <c r="F749" s="52" t="s">
        <v>777</v>
      </c>
      <c r="G749" s="52" t="s">
        <v>244</v>
      </c>
      <c r="H749" s="52">
        <v>1</v>
      </c>
    </row>
    <row r="750" spans="1:8" ht="14.4" x14ac:dyDescent="0.3">
      <c r="A750" s="50">
        <v>2171</v>
      </c>
      <c r="B750" s="51">
        <v>20001100104</v>
      </c>
      <c r="C750" s="52" t="s">
        <v>1512</v>
      </c>
      <c r="D750" s="52" t="s">
        <v>1625</v>
      </c>
      <c r="E750" s="52" t="s">
        <v>1626</v>
      </c>
      <c r="F750" s="52" t="s">
        <v>775</v>
      </c>
      <c r="G750" s="52" t="s">
        <v>244</v>
      </c>
      <c r="H750" s="52">
        <v>1</v>
      </c>
    </row>
    <row r="751" spans="1:8" ht="14.4" x14ac:dyDescent="0.3">
      <c r="A751" s="50">
        <v>2172</v>
      </c>
      <c r="B751" s="51">
        <v>20062050133</v>
      </c>
      <c r="C751" s="52" t="s">
        <v>1681</v>
      </c>
      <c r="D751" s="52" t="s">
        <v>1682</v>
      </c>
      <c r="E751" s="52" t="s">
        <v>3436</v>
      </c>
      <c r="F751" s="52" t="s">
        <v>656</v>
      </c>
      <c r="G751" s="52" t="s">
        <v>213</v>
      </c>
      <c r="H751" s="52">
        <v>1</v>
      </c>
    </row>
    <row r="752" spans="1:8" ht="14.4" x14ac:dyDescent="0.3">
      <c r="A752" s="36">
        <v>2180</v>
      </c>
      <c r="B752" s="36">
        <v>20020091040</v>
      </c>
      <c r="C752" s="36" t="s">
        <v>2233</v>
      </c>
      <c r="D752" s="36" t="s">
        <v>2234</v>
      </c>
      <c r="E752" s="36" t="s">
        <v>2237</v>
      </c>
      <c r="F752" s="36" t="s">
        <v>656</v>
      </c>
      <c r="G752" s="36" t="s">
        <v>244</v>
      </c>
      <c r="H752" s="36">
        <v>1</v>
      </c>
    </row>
    <row r="753" spans="1:8" ht="14.4" x14ac:dyDescent="0.3">
      <c r="A753" s="50">
        <v>2183</v>
      </c>
      <c r="B753" s="51">
        <v>20000310012</v>
      </c>
      <c r="C753" s="52" t="s">
        <v>814</v>
      </c>
      <c r="D753" s="52" t="s">
        <v>785</v>
      </c>
      <c r="E753" s="52" t="s">
        <v>3439</v>
      </c>
      <c r="F753" s="52" t="s">
        <v>775</v>
      </c>
      <c r="G753" s="52" t="s">
        <v>244</v>
      </c>
      <c r="H753" s="52">
        <v>0.6</v>
      </c>
    </row>
    <row r="754" spans="1:8" ht="14.4" x14ac:dyDescent="0.3">
      <c r="A754" s="50">
        <v>2184</v>
      </c>
      <c r="B754" s="51">
        <v>20000950098</v>
      </c>
      <c r="C754" s="52" t="s">
        <v>1308</v>
      </c>
      <c r="D754" s="52" t="s">
        <v>2725</v>
      </c>
      <c r="E754" s="52" t="s">
        <v>2726</v>
      </c>
      <c r="F754" s="52" t="s">
        <v>656</v>
      </c>
      <c r="G754" s="52" t="s">
        <v>244</v>
      </c>
      <c r="H754" s="52">
        <v>1</v>
      </c>
    </row>
    <row r="755" spans="1:8" ht="14.4" x14ac:dyDescent="0.3">
      <c r="A755" s="50">
        <v>2190</v>
      </c>
      <c r="B755" s="51">
        <v>20000110107</v>
      </c>
      <c r="C755" s="52" t="s">
        <v>2821</v>
      </c>
      <c r="D755" s="52" t="s">
        <v>655</v>
      </c>
      <c r="E755" s="52" t="s">
        <v>3440</v>
      </c>
      <c r="F755" s="52" t="s">
        <v>656</v>
      </c>
      <c r="G755" s="52" t="s">
        <v>244</v>
      </c>
      <c r="H755" s="52">
        <v>1</v>
      </c>
    </row>
    <row r="756" spans="1:8" ht="14.4" x14ac:dyDescent="0.3">
      <c r="A756" s="50">
        <v>2191</v>
      </c>
      <c r="B756" s="51">
        <v>20060110032</v>
      </c>
      <c r="C756" s="52" t="s">
        <v>2347</v>
      </c>
      <c r="D756" s="52" t="s">
        <v>2348</v>
      </c>
      <c r="E756" s="52" t="s">
        <v>3441</v>
      </c>
      <c r="F756" s="52" t="s">
        <v>775</v>
      </c>
      <c r="G756" s="52" t="s">
        <v>244</v>
      </c>
      <c r="H756" s="52">
        <v>1</v>
      </c>
    </row>
    <row r="757" spans="1:8" ht="14.4" x14ac:dyDescent="0.3">
      <c r="A757" s="36">
        <v>2192</v>
      </c>
      <c r="B757" s="36">
        <v>20000360012</v>
      </c>
      <c r="C757" s="36" t="s">
        <v>963</v>
      </c>
      <c r="D757" s="36" t="s">
        <v>2724</v>
      </c>
      <c r="E757" s="36" t="s">
        <v>3442</v>
      </c>
      <c r="F757" s="36" t="s">
        <v>775</v>
      </c>
      <c r="G757" s="36" t="s">
        <v>244</v>
      </c>
      <c r="H757" s="36">
        <v>1</v>
      </c>
    </row>
    <row r="758" spans="1:8" ht="14.4" x14ac:dyDescent="0.3">
      <c r="A758" s="50">
        <v>2193</v>
      </c>
      <c r="B758" s="51">
        <v>20001101056</v>
      </c>
      <c r="C758" s="52" t="s">
        <v>1671</v>
      </c>
      <c r="D758" s="52" t="s">
        <v>908</v>
      </c>
      <c r="E758" s="52" t="s">
        <v>3265</v>
      </c>
      <c r="F758" s="52" t="s">
        <v>656</v>
      </c>
      <c r="G758" s="52" t="s">
        <v>244</v>
      </c>
      <c r="H758" s="52">
        <v>1</v>
      </c>
    </row>
    <row r="759" spans="1:8" ht="14.4" x14ac:dyDescent="0.3">
      <c r="A759" s="50">
        <v>2201</v>
      </c>
      <c r="B759" s="51">
        <v>20000330012</v>
      </c>
      <c r="C759" s="52" t="s">
        <v>615</v>
      </c>
      <c r="D759" s="52" t="s">
        <v>897</v>
      </c>
      <c r="E759" s="52" t="s">
        <v>3439</v>
      </c>
      <c r="F759" s="52" t="s">
        <v>775</v>
      </c>
      <c r="G759" s="52" t="s">
        <v>244</v>
      </c>
      <c r="H759" s="52">
        <v>1</v>
      </c>
    </row>
    <row r="760" spans="1:8" ht="14.4" x14ac:dyDescent="0.3">
      <c r="A760" s="50">
        <v>2202</v>
      </c>
      <c r="B760" s="51">
        <v>20000340012</v>
      </c>
      <c r="C760" s="52" t="s">
        <v>935</v>
      </c>
      <c r="D760" s="52" t="s">
        <v>2723</v>
      </c>
      <c r="E760" s="52" t="s">
        <v>3439</v>
      </c>
      <c r="F760" s="52" t="s">
        <v>775</v>
      </c>
      <c r="G760" s="52" t="s">
        <v>244</v>
      </c>
      <c r="H760" s="52">
        <v>1</v>
      </c>
    </row>
    <row r="761" spans="1:8" ht="14.4" x14ac:dyDescent="0.3">
      <c r="A761" s="50">
        <v>2211</v>
      </c>
      <c r="B761" s="51">
        <v>20000310012</v>
      </c>
      <c r="C761" s="52" t="s">
        <v>786</v>
      </c>
      <c r="D761" s="52" t="s">
        <v>787</v>
      </c>
      <c r="E761" s="52" t="s">
        <v>3439</v>
      </c>
      <c r="F761" s="52" t="s">
        <v>775</v>
      </c>
      <c r="G761" s="52" t="s">
        <v>244</v>
      </c>
      <c r="H761" s="52">
        <v>1</v>
      </c>
    </row>
    <row r="762" spans="1:8" ht="14.4" x14ac:dyDescent="0.3">
      <c r="A762" s="50">
        <v>2214</v>
      </c>
      <c r="B762" s="51">
        <v>20001101056</v>
      </c>
      <c r="C762" s="52" t="s">
        <v>1690</v>
      </c>
      <c r="D762" s="52" t="s">
        <v>1241</v>
      </c>
      <c r="E762" s="52" t="s">
        <v>3443</v>
      </c>
      <c r="F762" s="52" t="s">
        <v>656</v>
      </c>
      <c r="G762" s="52" t="s">
        <v>244</v>
      </c>
      <c r="H762" s="52">
        <v>1</v>
      </c>
    </row>
    <row r="763" spans="1:8" ht="14.4" x14ac:dyDescent="0.3">
      <c r="A763" s="50">
        <v>2216</v>
      </c>
      <c r="B763" s="51">
        <v>20009001102</v>
      </c>
      <c r="C763" s="52" t="s">
        <v>2441</v>
      </c>
      <c r="D763" s="52" t="s">
        <v>2772</v>
      </c>
      <c r="E763" s="52" t="s">
        <v>1977</v>
      </c>
      <c r="F763" s="52" t="s">
        <v>656</v>
      </c>
      <c r="G763" s="52" t="s">
        <v>244</v>
      </c>
      <c r="H763" s="52">
        <v>1</v>
      </c>
    </row>
    <row r="764" spans="1:8" ht="14.4" x14ac:dyDescent="0.3">
      <c r="A764" s="50">
        <v>2217</v>
      </c>
      <c r="B764" s="51">
        <v>20001101056</v>
      </c>
      <c r="C764" s="52" t="s">
        <v>3756</v>
      </c>
      <c r="D764" s="52" t="s">
        <v>2444</v>
      </c>
      <c r="E764" s="52" t="s">
        <v>1642</v>
      </c>
      <c r="F764" s="52" t="s">
        <v>656</v>
      </c>
      <c r="G764" s="52" t="s">
        <v>145</v>
      </c>
      <c r="H764" s="52">
        <v>1</v>
      </c>
    </row>
    <row r="765" spans="1:8" ht="14.4" x14ac:dyDescent="0.3">
      <c r="A765" s="50">
        <v>2218</v>
      </c>
      <c r="B765" s="51">
        <v>20001101056</v>
      </c>
      <c r="C765" s="52" t="s">
        <v>1683</v>
      </c>
      <c r="D765" s="52" t="s">
        <v>1684</v>
      </c>
      <c r="E765" s="52" t="s">
        <v>3434</v>
      </c>
      <c r="F765" s="52" t="s">
        <v>656</v>
      </c>
      <c r="G765" s="52" t="s">
        <v>244</v>
      </c>
      <c r="H765" s="52">
        <v>1</v>
      </c>
    </row>
    <row r="766" spans="1:8" ht="14.4" x14ac:dyDescent="0.3">
      <c r="A766" s="50">
        <v>2219</v>
      </c>
      <c r="B766" s="51">
        <v>20001101049</v>
      </c>
      <c r="C766" s="52" t="s">
        <v>1664</v>
      </c>
      <c r="D766" s="52" t="s">
        <v>1665</v>
      </c>
      <c r="E766" s="52" t="s">
        <v>3444</v>
      </c>
      <c r="F766" s="52" t="s">
        <v>775</v>
      </c>
      <c r="G766" s="52" t="s">
        <v>244</v>
      </c>
      <c r="H766" s="52">
        <v>1</v>
      </c>
    </row>
    <row r="767" spans="1:8" ht="14.4" x14ac:dyDescent="0.3">
      <c r="A767" s="50">
        <v>2220</v>
      </c>
      <c r="B767" s="51">
        <v>20000660028</v>
      </c>
      <c r="C767" s="52" t="s">
        <v>1200</v>
      </c>
      <c r="D767" s="52" t="s">
        <v>1201</v>
      </c>
      <c r="E767" s="52" t="s">
        <v>1165</v>
      </c>
      <c r="F767" s="52" t="s">
        <v>656</v>
      </c>
      <c r="G767" s="52" t="s">
        <v>213</v>
      </c>
      <c r="H767" s="52">
        <v>1</v>
      </c>
    </row>
    <row r="768" spans="1:8" ht="14.4" x14ac:dyDescent="0.3">
      <c r="A768" s="50">
        <v>2222</v>
      </c>
      <c r="B768" s="51">
        <v>20001101037</v>
      </c>
      <c r="C768" s="52" t="s">
        <v>1072</v>
      </c>
      <c r="D768" s="52" t="s">
        <v>1636</v>
      </c>
      <c r="E768" s="52" t="s">
        <v>3445</v>
      </c>
      <c r="F768" s="52" t="s">
        <v>1327</v>
      </c>
      <c r="G768" s="52" t="s">
        <v>244</v>
      </c>
      <c r="H768" s="52">
        <v>1</v>
      </c>
    </row>
    <row r="769" spans="1:8" ht="14.4" x14ac:dyDescent="0.3">
      <c r="A769" s="50">
        <v>2223</v>
      </c>
      <c r="B769" s="51">
        <v>20001051038</v>
      </c>
      <c r="C769" s="52" t="s">
        <v>1355</v>
      </c>
      <c r="D769" s="52" t="s">
        <v>1356</v>
      </c>
      <c r="E769" s="52" t="s">
        <v>1326</v>
      </c>
      <c r="F769" s="52" t="s">
        <v>656</v>
      </c>
      <c r="G769" s="52" t="s">
        <v>213</v>
      </c>
      <c r="H769" s="52">
        <v>1</v>
      </c>
    </row>
    <row r="770" spans="1:8" ht="14.4" x14ac:dyDescent="0.3">
      <c r="A770" s="50">
        <v>2224</v>
      </c>
      <c r="B770" s="51">
        <v>20001101045</v>
      </c>
      <c r="C770" s="52" t="s">
        <v>1646</v>
      </c>
      <c r="D770" s="52" t="s">
        <v>1647</v>
      </c>
      <c r="E770" s="52" t="s">
        <v>1648</v>
      </c>
      <c r="F770" s="52" t="s">
        <v>1056</v>
      </c>
      <c r="G770" s="52" t="s">
        <v>244</v>
      </c>
      <c r="H770" s="52">
        <v>1</v>
      </c>
    </row>
    <row r="771" spans="1:8" ht="14.4" x14ac:dyDescent="0.3">
      <c r="A771" s="50">
        <v>2225</v>
      </c>
      <c r="B771" s="51">
        <v>20000310012</v>
      </c>
      <c r="C771" s="52" t="s">
        <v>782</v>
      </c>
      <c r="D771" s="52" t="s">
        <v>783</v>
      </c>
      <c r="E771" s="52" t="s">
        <v>3439</v>
      </c>
      <c r="F771" s="52" t="s">
        <v>775</v>
      </c>
      <c r="G771" s="52" t="s">
        <v>244</v>
      </c>
      <c r="H771" s="52">
        <v>1</v>
      </c>
    </row>
    <row r="772" spans="1:8" ht="14.4" x14ac:dyDescent="0.3">
      <c r="A772" s="50">
        <v>2226</v>
      </c>
      <c r="B772" s="51">
        <v>20000330012</v>
      </c>
      <c r="C772" s="52" t="s">
        <v>896</v>
      </c>
      <c r="D772" s="52" t="s">
        <v>870</v>
      </c>
      <c r="E772" s="52" t="s">
        <v>3439</v>
      </c>
      <c r="F772" s="52" t="s">
        <v>775</v>
      </c>
      <c r="G772" s="52" t="s">
        <v>244</v>
      </c>
      <c r="H772" s="52">
        <v>1</v>
      </c>
    </row>
    <row r="773" spans="1:8" ht="14.4" x14ac:dyDescent="0.3">
      <c r="A773" s="50">
        <v>2227</v>
      </c>
      <c r="B773" s="51">
        <v>20000310012</v>
      </c>
      <c r="C773" s="52" t="s">
        <v>829</v>
      </c>
      <c r="D773" s="52" t="s">
        <v>830</v>
      </c>
      <c r="E773" s="52" t="s">
        <v>3439</v>
      </c>
      <c r="F773" s="52" t="s">
        <v>775</v>
      </c>
      <c r="G773" s="52" t="s">
        <v>244</v>
      </c>
      <c r="H773" s="52">
        <v>1</v>
      </c>
    </row>
    <row r="774" spans="1:8" ht="14.4" x14ac:dyDescent="0.3">
      <c r="A774" s="50">
        <v>2228</v>
      </c>
      <c r="B774" s="51">
        <v>20000310012</v>
      </c>
      <c r="C774" s="52" t="s">
        <v>843</v>
      </c>
      <c r="D774" s="52" t="s">
        <v>844</v>
      </c>
      <c r="E774" s="52" t="s">
        <v>3439</v>
      </c>
      <c r="F774" s="52" t="s">
        <v>775</v>
      </c>
      <c r="G774" s="52" t="s">
        <v>244</v>
      </c>
      <c r="H774" s="52">
        <v>1</v>
      </c>
    </row>
    <row r="775" spans="1:8" ht="14.4" x14ac:dyDescent="0.3">
      <c r="A775" s="50">
        <v>2229</v>
      </c>
      <c r="B775" s="51">
        <v>20000310012</v>
      </c>
      <c r="C775" s="52" t="s">
        <v>815</v>
      </c>
      <c r="D775" s="52" t="s">
        <v>816</v>
      </c>
      <c r="E775" s="52" t="s">
        <v>3439</v>
      </c>
      <c r="F775" s="52" t="s">
        <v>775</v>
      </c>
      <c r="G775" s="52" t="s">
        <v>244</v>
      </c>
      <c r="H775" s="52">
        <v>1</v>
      </c>
    </row>
    <row r="776" spans="1:8" ht="14.4" x14ac:dyDescent="0.3">
      <c r="A776" s="50">
        <v>2230</v>
      </c>
      <c r="B776" s="51">
        <v>20001101049</v>
      </c>
      <c r="C776" s="52" t="s">
        <v>1150</v>
      </c>
      <c r="D776" s="52" t="s">
        <v>1669</v>
      </c>
      <c r="E776" s="52" t="s">
        <v>1652</v>
      </c>
      <c r="F776" s="52" t="s">
        <v>775</v>
      </c>
      <c r="G776" s="52" t="s">
        <v>244</v>
      </c>
      <c r="H776" s="52">
        <v>1</v>
      </c>
    </row>
    <row r="777" spans="1:8" ht="14.4" x14ac:dyDescent="0.3">
      <c r="A777" s="50">
        <v>2231</v>
      </c>
      <c r="B777" s="51">
        <v>20001101045</v>
      </c>
      <c r="C777" s="52" t="s">
        <v>1512</v>
      </c>
      <c r="D777" s="52" t="s">
        <v>1645</v>
      </c>
      <c r="E777" s="52" t="s">
        <v>3446</v>
      </c>
      <c r="F777" s="52" t="s">
        <v>1056</v>
      </c>
      <c r="G777" s="52" t="s">
        <v>244</v>
      </c>
      <c r="H777" s="52">
        <v>1</v>
      </c>
    </row>
    <row r="778" spans="1:8" ht="14.4" x14ac:dyDescent="0.3">
      <c r="A778" s="50">
        <v>2232</v>
      </c>
      <c r="B778" s="51">
        <v>20000310012</v>
      </c>
      <c r="C778" s="52" t="s">
        <v>822</v>
      </c>
      <c r="D778" s="52" t="s">
        <v>823</v>
      </c>
      <c r="E778" s="52" t="s">
        <v>3439</v>
      </c>
      <c r="F778" s="52" t="s">
        <v>775</v>
      </c>
      <c r="G778" s="52" t="s">
        <v>244</v>
      </c>
      <c r="H778" s="52">
        <v>1</v>
      </c>
    </row>
    <row r="779" spans="1:8" ht="14.4" x14ac:dyDescent="0.3">
      <c r="A779" s="50">
        <v>2233</v>
      </c>
      <c r="B779" s="51">
        <v>20000340012</v>
      </c>
      <c r="C779" s="52" t="s">
        <v>2822</v>
      </c>
      <c r="D779" s="52" t="s">
        <v>934</v>
      </c>
      <c r="E779" s="52" t="s">
        <v>2923</v>
      </c>
      <c r="F779" s="52" t="s">
        <v>777</v>
      </c>
      <c r="G779" s="52" t="s">
        <v>213</v>
      </c>
      <c r="H779" s="52">
        <v>1</v>
      </c>
    </row>
    <row r="780" spans="1:8" ht="14.4" x14ac:dyDescent="0.3">
      <c r="A780" s="50">
        <v>2234</v>
      </c>
      <c r="B780" s="51">
        <v>20000350012</v>
      </c>
      <c r="C780" s="52" t="s">
        <v>939</v>
      </c>
      <c r="D780" s="52" t="s">
        <v>940</v>
      </c>
      <c r="E780" s="52" t="s">
        <v>2931</v>
      </c>
      <c r="F780" s="52" t="s">
        <v>777</v>
      </c>
      <c r="G780" s="52" t="s">
        <v>213</v>
      </c>
      <c r="H780" s="52">
        <v>1</v>
      </c>
    </row>
    <row r="781" spans="1:8" ht="14.4" x14ac:dyDescent="0.3">
      <c r="A781" s="50">
        <v>2235</v>
      </c>
      <c r="B781" s="51">
        <v>20000660028</v>
      </c>
      <c r="C781" s="52" t="s">
        <v>1150</v>
      </c>
      <c r="D781" s="52" t="s">
        <v>1207</v>
      </c>
      <c r="E781" s="52" t="s">
        <v>2530</v>
      </c>
      <c r="F781" s="52" t="s">
        <v>656</v>
      </c>
      <c r="G781" s="52" t="s">
        <v>213</v>
      </c>
      <c r="H781" s="52">
        <v>1</v>
      </c>
    </row>
    <row r="782" spans="1:8" ht="14.4" x14ac:dyDescent="0.3">
      <c r="A782" s="50">
        <v>2236</v>
      </c>
      <c r="B782" s="51">
        <v>20022001101</v>
      </c>
      <c r="C782" s="52" t="s">
        <v>1355</v>
      </c>
      <c r="D782" s="52" t="s">
        <v>1668</v>
      </c>
      <c r="E782" s="52" t="s">
        <v>3447</v>
      </c>
      <c r="F782" s="52" t="s">
        <v>656</v>
      </c>
      <c r="G782" s="52" t="s">
        <v>244</v>
      </c>
      <c r="H782" s="52">
        <v>0.6</v>
      </c>
    </row>
    <row r="783" spans="1:8" ht="14.4" x14ac:dyDescent="0.3">
      <c r="A783" s="50">
        <v>2238</v>
      </c>
      <c r="B783" s="51">
        <v>20000330012</v>
      </c>
      <c r="C783" s="52" t="s">
        <v>799</v>
      </c>
      <c r="D783" s="52" t="s">
        <v>901</v>
      </c>
      <c r="E783" s="52" t="s">
        <v>3439</v>
      </c>
      <c r="F783" s="52" t="s">
        <v>775</v>
      </c>
      <c r="G783" s="52" t="s">
        <v>244</v>
      </c>
      <c r="H783" s="52">
        <v>1</v>
      </c>
    </row>
    <row r="784" spans="1:8" ht="14.4" x14ac:dyDescent="0.3">
      <c r="A784" s="50">
        <v>2243</v>
      </c>
      <c r="B784" s="51">
        <v>20000310012</v>
      </c>
      <c r="C784" s="52" t="s">
        <v>773</v>
      </c>
      <c r="D784" s="52" t="s">
        <v>774</v>
      </c>
      <c r="E784" s="52" t="s">
        <v>3439</v>
      </c>
      <c r="F784" s="52" t="s">
        <v>775</v>
      </c>
      <c r="G784" s="52" t="s">
        <v>244</v>
      </c>
      <c r="H784" s="52">
        <v>1</v>
      </c>
    </row>
    <row r="785" spans="1:8" ht="14.4" x14ac:dyDescent="0.3">
      <c r="A785" s="50">
        <v>2245</v>
      </c>
      <c r="B785" s="51">
        <v>20000310012</v>
      </c>
      <c r="C785" s="52" t="s">
        <v>784</v>
      </c>
      <c r="D785" s="52" t="s">
        <v>785</v>
      </c>
      <c r="E785" s="52" t="s">
        <v>3439</v>
      </c>
      <c r="F785" s="52" t="s">
        <v>775</v>
      </c>
      <c r="G785" s="52" t="s">
        <v>244</v>
      </c>
      <c r="H785" s="52">
        <v>1</v>
      </c>
    </row>
    <row r="786" spans="1:8" ht="14.4" x14ac:dyDescent="0.3">
      <c r="A786" s="50">
        <v>2247</v>
      </c>
      <c r="B786" s="51">
        <v>20000310012</v>
      </c>
      <c r="C786" s="52" t="s">
        <v>801</v>
      </c>
      <c r="D786" s="52" t="s">
        <v>802</v>
      </c>
      <c r="E786" s="52" t="s">
        <v>3439</v>
      </c>
      <c r="F786" s="52" t="s">
        <v>775</v>
      </c>
      <c r="G786" s="52" t="s">
        <v>244</v>
      </c>
      <c r="H786" s="52">
        <v>1</v>
      </c>
    </row>
    <row r="787" spans="1:8" ht="14.4" x14ac:dyDescent="0.3">
      <c r="A787" s="50">
        <v>2248</v>
      </c>
      <c r="B787" s="51">
        <v>20000360012</v>
      </c>
      <c r="C787" s="52" t="s">
        <v>960</v>
      </c>
      <c r="D787" s="52" t="s">
        <v>785</v>
      </c>
      <c r="E787" s="52" t="s">
        <v>3442</v>
      </c>
      <c r="F787" s="52" t="s">
        <v>775</v>
      </c>
      <c r="G787" s="52" t="s">
        <v>244</v>
      </c>
      <c r="H787" s="52">
        <v>1</v>
      </c>
    </row>
    <row r="788" spans="1:8" ht="14.4" x14ac:dyDescent="0.3">
      <c r="A788" s="50">
        <v>2249</v>
      </c>
      <c r="B788" s="51">
        <v>20000310012</v>
      </c>
      <c r="C788" s="52" t="s">
        <v>788</v>
      </c>
      <c r="D788" s="52" t="s">
        <v>789</v>
      </c>
      <c r="E788" s="52" t="s">
        <v>3439</v>
      </c>
      <c r="F788" s="52" t="s">
        <v>775</v>
      </c>
      <c r="G788" s="52" t="s">
        <v>244</v>
      </c>
      <c r="H788" s="52">
        <v>1</v>
      </c>
    </row>
    <row r="789" spans="1:8" ht="14.4" x14ac:dyDescent="0.3">
      <c r="A789" s="50">
        <v>2250</v>
      </c>
      <c r="B789" s="51">
        <v>20001101037</v>
      </c>
      <c r="C789" s="52" t="s">
        <v>1634</v>
      </c>
      <c r="D789" s="52" t="s">
        <v>1635</v>
      </c>
      <c r="E789" s="52" t="s">
        <v>3445</v>
      </c>
      <c r="F789" s="52" t="s">
        <v>1327</v>
      </c>
      <c r="G789" s="52" t="s">
        <v>244</v>
      </c>
      <c r="H789" s="52">
        <v>1</v>
      </c>
    </row>
    <row r="790" spans="1:8" ht="14.4" x14ac:dyDescent="0.3">
      <c r="A790" s="50">
        <v>2251</v>
      </c>
      <c r="B790" s="51">
        <v>20000310012</v>
      </c>
      <c r="C790" s="52" t="s">
        <v>845</v>
      </c>
      <c r="D790" s="52" t="s">
        <v>846</v>
      </c>
      <c r="E790" s="52" t="s">
        <v>3439</v>
      </c>
      <c r="F790" s="52" t="s">
        <v>775</v>
      </c>
      <c r="G790" s="52" t="s">
        <v>244</v>
      </c>
      <c r="H790" s="52">
        <v>1</v>
      </c>
    </row>
    <row r="791" spans="1:8" ht="14.4" x14ac:dyDescent="0.3">
      <c r="A791" s="50">
        <v>2252</v>
      </c>
      <c r="B791" s="51">
        <v>20000310012</v>
      </c>
      <c r="C791" s="52" t="s">
        <v>847</v>
      </c>
      <c r="D791" s="52" t="s">
        <v>848</v>
      </c>
      <c r="E791" s="52" t="s">
        <v>3439</v>
      </c>
      <c r="F791" s="52" t="s">
        <v>775</v>
      </c>
      <c r="G791" s="52" t="s">
        <v>244</v>
      </c>
      <c r="H791" s="52">
        <v>1</v>
      </c>
    </row>
    <row r="792" spans="1:8" ht="14.4" x14ac:dyDescent="0.3">
      <c r="A792" s="50">
        <v>2253</v>
      </c>
      <c r="B792" s="51">
        <v>20000310012</v>
      </c>
      <c r="C792" s="52" t="s">
        <v>849</v>
      </c>
      <c r="D792" s="52" t="s">
        <v>850</v>
      </c>
      <c r="E792" s="52" t="s">
        <v>3439</v>
      </c>
      <c r="F792" s="52" t="s">
        <v>775</v>
      </c>
      <c r="G792" s="52" t="s">
        <v>244</v>
      </c>
      <c r="H792" s="52">
        <v>1</v>
      </c>
    </row>
    <row r="793" spans="1:8" ht="14.4" x14ac:dyDescent="0.3">
      <c r="A793" s="50">
        <v>2254</v>
      </c>
      <c r="B793" s="51">
        <v>20000310012</v>
      </c>
      <c r="C793" s="52" t="s">
        <v>836</v>
      </c>
      <c r="D793" s="52" t="s">
        <v>700</v>
      </c>
      <c r="E793" s="52" t="s">
        <v>3439</v>
      </c>
      <c r="F793" s="52" t="s">
        <v>775</v>
      </c>
      <c r="G793" s="52" t="s">
        <v>244</v>
      </c>
      <c r="H793" s="52">
        <v>1</v>
      </c>
    </row>
    <row r="794" spans="1:8" ht="14.4" x14ac:dyDescent="0.3">
      <c r="A794" s="50">
        <v>2255</v>
      </c>
      <c r="B794" s="51">
        <v>20000310012</v>
      </c>
      <c r="C794" s="52" t="s">
        <v>780</v>
      </c>
      <c r="D794" s="52" t="s">
        <v>781</v>
      </c>
      <c r="E794" s="52" t="s">
        <v>3208</v>
      </c>
      <c r="F794" s="52" t="s">
        <v>777</v>
      </c>
      <c r="G794" s="52" t="s">
        <v>213</v>
      </c>
      <c r="H794" s="52">
        <v>1</v>
      </c>
    </row>
    <row r="795" spans="1:8" ht="14.4" x14ac:dyDescent="0.3">
      <c r="A795" s="50">
        <v>2256</v>
      </c>
      <c r="B795" s="51">
        <v>20000570121</v>
      </c>
      <c r="C795" s="52" t="s">
        <v>675</v>
      </c>
      <c r="D795" s="52" t="s">
        <v>1199</v>
      </c>
      <c r="E795" s="52" t="s">
        <v>1031</v>
      </c>
      <c r="F795" s="52" t="s">
        <v>656</v>
      </c>
      <c r="G795" s="52" t="s">
        <v>213</v>
      </c>
      <c r="H795" s="52">
        <v>1</v>
      </c>
    </row>
    <row r="796" spans="1:8" ht="14.4" x14ac:dyDescent="0.3">
      <c r="A796" s="50">
        <v>2257</v>
      </c>
      <c r="B796" s="51">
        <v>20000310012</v>
      </c>
      <c r="C796" s="52" t="s">
        <v>831</v>
      </c>
      <c r="D796" s="52" t="s">
        <v>830</v>
      </c>
      <c r="E796" s="52" t="s">
        <v>3439</v>
      </c>
      <c r="F796" s="52" t="s">
        <v>775</v>
      </c>
      <c r="G796" s="52" t="s">
        <v>244</v>
      </c>
      <c r="H796" s="52">
        <v>1</v>
      </c>
    </row>
    <row r="797" spans="1:8" ht="14.4" x14ac:dyDescent="0.3">
      <c r="A797" s="50">
        <v>2258</v>
      </c>
      <c r="B797" s="51">
        <v>20000310012</v>
      </c>
      <c r="C797" s="52" t="s">
        <v>837</v>
      </c>
      <c r="D797" s="52" t="s">
        <v>838</v>
      </c>
      <c r="E797" s="52" t="s">
        <v>3439</v>
      </c>
      <c r="F797" s="52" t="s">
        <v>775</v>
      </c>
      <c r="G797" s="52" t="s">
        <v>244</v>
      </c>
      <c r="H797" s="52">
        <v>1</v>
      </c>
    </row>
    <row r="798" spans="1:8" ht="14.4" x14ac:dyDescent="0.3">
      <c r="A798" s="50">
        <v>2259</v>
      </c>
      <c r="B798" s="51">
        <v>20000310012</v>
      </c>
      <c r="C798" s="52" t="s">
        <v>834</v>
      </c>
      <c r="D798" s="52" t="s">
        <v>835</v>
      </c>
      <c r="E798" s="52" t="s">
        <v>3439</v>
      </c>
      <c r="F798" s="52" t="s">
        <v>775</v>
      </c>
      <c r="G798" s="52" t="s">
        <v>244</v>
      </c>
      <c r="H798" s="52">
        <v>1</v>
      </c>
    </row>
    <row r="799" spans="1:8" ht="14.4" x14ac:dyDescent="0.3">
      <c r="A799" s="50">
        <v>2260</v>
      </c>
      <c r="B799" s="51">
        <v>20000360012</v>
      </c>
      <c r="C799" s="52" t="s">
        <v>963</v>
      </c>
      <c r="D799" s="52" t="s">
        <v>964</v>
      </c>
      <c r="E799" s="52" t="s">
        <v>955</v>
      </c>
      <c r="F799" s="52" t="s">
        <v>777</v>
      </c>
      <c r="G799" s="52" t="s">
        <v>244</v>
      </c>
      <c r="H799" s="52">
        <v>1</v>
      </c>
    </row>
    <row r="800" spans="1:8" ht="14.4" x14ac:dyDescent="0.3">
      <c r="A800" s="50">
        <v>2261</v>
      </c>
      <c r="B800" s="51">
        <v>20022001101</v>
      </c>
      <c r="C800" s="52" t="s">
        <v>2295</v>
      </c>
      <c r="D800" s="52" t="s">
        <v>1573</v>
      </c>
      <c r="E800" s="52" t="s">
        <v>2100</v>
      </c>
      <c r="F800" s="52" t="s">
        <v>656</v>
      </c>
      <c r="G800" s="52" t="s">
        <v>244</v>
      </c>
      <c r="H800" s="52">
        <v>1</v>
      </c>
    </row>
    <row r="801" spans="1:8" ht="14.4" x14ac:dyDescent="0.3">
      <c r="A801" s="50">
        <v>2262</v>
      </c>
      <c r="B801" s="51">
        <v>20000310012</v>
      </c>
      <c r="C801" s="52" t="s">
        <v>790</v>
      </c>
      <c r="D801" s="52" t="s">
        <v>791</v>
      </c>
      <c r="E801" s="52" t="s">
        <v>3438</v>
      </c>
      <c r="F801" s="52" t="s">
        <v>775</v>
      </c>
      <c r="G801" s="52" t="s">
        <v>244</v>
      </c>
      <c r="H801" s="52">
        <v>1</v>
      </c>
    </row>
    <row r="802" spans="1:8" ht="14.4" x14ac:dyDescent="0.3">
      <c r="A802" s="50">
        <v>2263</v>
      </c>
      <c r="B802" s="51">
        <v>20000330012</v>
      </c>
      <c r="C802" s="52" t="s">
        <v>904</v>
      </c>
      <c r="D802" s="52" t="s">
        <v>905</v>
      </c>
      <c r="E802" s="52" t="s">
        <v>663</v>
      </c>
      <c r="F802" s="52" t="s">
        <v>777</v>
      </c>
      <c r="G802" s="52" t="s">
        <v>244</v>
      </c>
      <c r="H802" s="52">
        <v>1</v>
      </c>
    </row>
    <row r="803" spans="1:8" ht="14.4" x14ac:dyDescent="0.3">
      <c r="A803" s="50">
        <v>2264</v>
      </c>
      <c r="B803" s="51">
        <v>20000310012</v>
      </c>
      <c r="C803" s="52" t="s">
        <v>811</v>
      </c>
      <c r="D803" s="52" t="s">
        <v>812</v>
      </c>
      <c r="E803" s="52" t="s">
        <v>3439</v>
      </c>
      <c r="F803" s="52" t="s">
        <v>775</v>
      </c>
      <c r="G803" s="52" t="s">
        <v>244</v>
      </c>
      <c r="H803" s="52">
        <v>0.6</v>
      </c>
    </row>
    <row r="804" spans="1:8" ht="14.4" x14ac:dyDescent="0.3">
      <c r="A804" s="50">
        <v>2265</v>
      </c>
      <c r="B804" s="51">
        <v>20000310012</v>
      </c>
      <c r="C804" s="52" t="s">
        <v>819</v>
      </c>
      <c r="D804" s="52" t="s">
        <v>820</v>
      </c>
      <c r="E804" s="52" t="s">
        <v>3439</v>
      </c>
      <c r="F804" s="52" t="s">
        <v>775</v>
      </c>
      <c r="G804" s="52" t="s">
        <v>244</v>
      </c>
      <c r="H804" s="52">
        <v>1</v>
      </c>
    </row>
    <row r="805" spans="1:8" ht="14.4" x14ac:dyDescent="0.3">
      <c r="A805" s="50">
        <v>2266</v>
      </c>
      <c r="B805" s="51">
        <v>20000310012</v>
      </c>
      <c r="C805" s="52" t="s">
        <v>839</v>
      </c>
      <c r="D805" s="52" t="s">
        <v>840</v>
      </c>
      <c r="E805" s="52" t="s">
        <v>3439</v>
      </c>
      <c r="F805" s="52" t="s">
        <v>775</v>
      </c>
      <c r="G805" s="52" t="s">
        <v>244</v>
      </c>
      <c r="H805" s="52">
        <v>1</v>
      </c>
    </row>
    <row r="806" spans="1:8" ht="14.4" x14ac:dyDescent="0.3">
      <c r="A806" s="50">
        <v>2267</v>
      </c>
      <c r="B806" s="51">
        <v>20001101049</v>
      </c>
      <c r="C806" s="52" t="s">
        <v>1666</v>
      </c>
      <c r="D806" s="52" t="s">
        <v>1667</v>
      </c>
      <c r="E806" s="52" t="s">
        <v>3444</v>
      </c>
      <c r="F806" s="52" t="s">
        <v>775</v>
      </c>
      <c r="G806" s="52" t="s">
        <v>244</v>
      </c>
      <c r="H806" s="52">
        <v>1</v>
      </c>
    </row>
    <row r="807" spans="1:8" ht="14.4" x14ac:dyDescent="0.3">
      <c r="A807" s="50">
        <v>2268</v>
      </c>
      <c r="B807" s="51">
        <v>20000330012</v>
      </c>
      <c r="C807" s="52" t="s">
        <v>903</v>
      </c>
      <c r="D807" s="52" t="s">
        <v>684</v>
      </c>
      <c r="E807" s="52" t="s">
        <v>3439</v>
      </c>
      <c r="F807" s="52" t="s">
        <v>775</v>
      </c>
      <c r="G807" s="52" t="s">
        <v>244</v>
      </c>
      <c r="H807" s="52">
        <v>1</v>
      </c>
    </row>
    <row r="808" spans="1:8" ht="14.4" x14ac:dyDescent="0.3">
      <c r="A808" s="50">
        <v>2269</v>
      </c>
      <c r="B808" s="51">
        <v>20001101049</v>
      </c>
      <c r="C808" s="52" t="s">
        <v>1651</v>
      </c>
      <c r="D808" s="52" t="s">
        <v>675</v>
      </c>
      <c r="E808" s="52" t="s">
        <v>1652</v>
      </c>
      <c r="F808" s="52" t="s">
        <v>775</v>
      </c>
      <c r="G808" s="52" t="s">
        <v>244</v>
      </c>
      <c r="H808" s="52">
        <v>1</v>
      </c>
    </row>
    <row r="809" spans="1:8" ht="14.4" x14ac:dyDescent="0.3">
      <c r="A809" s="50">
        <v>2270</v>
      </c>
      <c r="B809" s="51">
        <v>20000310012</v>
      </c>
      <c r="C809" s="52" t="s">
        <v>794</v>
      </c>
      <c r="D809" s="52" t="s">
        <v>795</v>
      </c>
      <c r="E809" s="52" t="s">
        <v>3438</v>
      </c>
      <c r="F809" s="52" t="s">
        <v>775</v>
      </c>
      <c r="G809" s="52" t="s">
        <v>244</v>
      </c>
      <c r="H809" s="52">
        <v>1</v>
      </c>
    </row>
    <row r="810" spans="1:8" ht="14.4" x14ac:dyDescent="0.3">
      <c r="A810" s="50">
        <v>2271</v>
      </c>
      <c r="B810" s="51">
        <v>20000360012</v>
      </c>
      <c r="C810" s="52" t="s">
        <v>961</v>
      </c>
      <c r="D810" s="52" t="s">
        <v>694</v>
      </c>
      <c r="E810" s="52" t="s">
        <v>962</v>
      </c>
      <c r="F810" s="52" t="s">
        <v>777</v>
      </c>
      <c r="G810" s="52" t="s">
        <v>244</v>
      </c>
      <c r="H810" s="52">
        <v>1</v>
      </c>
    </row>
    <row r="811" spans="1:8" ht="14.4" x14ac:dyDescent="0.3">
      <c r="A811" s="50">
        <v>2272</v>
      </c>
      <c r="B811" s="51">
        <v>20001101049</v>
      </c>
      <c r="C811" s="52" t="s">
        <v>1663</v>
      </c>
      <c r="D811" s="52" t="s">
        <v>908</v>
      </c>
      <c r="E811" s="52" t="s">
        <v>1639</v>
      </c>
      <c r="F811" s="52" t="s">
        <v>775</v>
      </c>
      <c r="G811" s="52" t="s">
        <v>244</v>
      </c>
      <c r="H811" s="52">
        <v>1</v>
      </c>
    </row>
    <row r="812" spans="1:8" ht="14.4" x14ac:dyDescent="0.3">
      <c r="A812" s="50">
        <v>2273</v>
      </c>
      <c r="B812" s="51">
        <v>20000310012</v>
      </c>
      <c r="C812" s="52" t="s">
        <v>803</v>
      </c>
      <c r="D812" s="52" t="s">
        <v>804</v>
      </c>
      <c r="E812" s="52" t="s">
        <v>2929</v>
      </c>
      <c r="F812" s="52" t="s">
        <v>777</v>
      </c>
      <c r="G812" s="52" t="s">
        <v>213</v>
      </c>
      <c r="H812" s="52">
        <v>1</v>
      </c>
    </row>
    <row r="813" spans="1:8" ht="14.4" x14ac:dyDescent="0.3">
      <c r="A813" s="50">
        <v>2274</v>
      </c>
      <c r="B813" s="51">
        <v>20000310012</v>
      </c>
      <c r="C813" s="52" t="s">
        <v>827</v>
      </c>
      <c r="D813" s="52" t="s">
        <v>828</v>
      </c>
      <c r="E813" s="52" t="s">
        <v>3439</v>
      </c>
      <c r="F813" s="52" t="s">
        <v>775</v>
      </c>
      <c r="G813" s="52" t="s">
        <v>244</v>
      </c>
      <c r="H813" s="52">
        <v>1</v>
      </c>
    </row>
    <row r="814" spans="1:8" ht="14.4" x14ac:dyDescent="0.3">
      <c r="A814" s="50">
        <v>2275</v>
      </c>
      <c r="B814" s="51">
        <v>20000310012</v>
      </c>
      <c r="C814" s="52" t="s">
        <v>832</v>
      </c>
      <c r="D814" s="52" t="s">
        <v>833</v>
      </c>
      <c r="E814" s="52" t="s">
        <v>663</v>
      </c>
      <c r="F814" s="52" t="s">
        <v>777</v>
      </c>
      <c r="G814" s="52" t="s">
        <v>244</v>
      </c>
      <c r="H814" s="52">
        <v>0.6</v>
      </c>
    </row>
    <row r="815" spans="1:8" ht="14.4" x14ac:dyDescent="0.3">
      <c r="A815" s="50">
        <v>2276</v>
      </c>
      <c r="B815" s="51">
        <v>20000310012</v>
      </c>
      <c r="C815" s="52" t="s">
        <v>826</v>
      </c>
      <c r="D815" s="52" t="s">
        <v>733</v>
      </c>
      <c r="E815" s="52" t="s">
        <v>3439</v>
      </c>
      <c r="F815" s="52" t="s">
        <v>775</v>
      </c>
      <c r="G815" s="52" t="s">
        <v>244</v>
      </c>
      <c r="H815" s="52">
        <v>1</v>
      </c>
    </row>
    <row r="816" spans="1:8" ht="14.4" x14ac:dyDescent="0.3">
      <c r="A816" s="50">
        <v>2277</v>
      </c>
      <c r="B816" s="51">
        <v>20001101041</v>
      </c>
      <c r="C816" s="52" t="s">
        <v>1308</v>
      </c>
      <c r="D816" s="52" t="s">
        <v>672</v>
      </c>
      <c r="E816" s="52" t="s">
        <v>1377</v>
      </c>
      <c r="F816" s="52" t="s">
        <v>656</v>
      </c>
      <c r="G816" s="52" t="s">
        <v>244</v>
      </c>
      <c r="H816" s="52">
        <v>1</v>
      </c>
    </row>
    <row r="817" spans="1:8" ht="14.4" x14ac:dyDescent="0.3">
      <c r="A817" s="50">
        <v>2278</v>
      </c>
      <c r="B817" s="51">
        <v>20000330012</v>
      </c>
      <c r="C817" s="52" t="s">
        <v>898</v>
      </c>
      <c r="D817" s="52" t="s">
        <v>668</v>
      </c>
      <c r="E817" s="52" t="s">
        <v>3439</v>
      </c>
      <c r="F817" s="52" t="s">
        <v>775</v>
      </c>
      <c r="G817" s="52" t="s">
        <v>244</v>
      </c>
      <c r="H817" s="52">
        <v>1</v>
      </c>
    </row>
    <row r="818" spans="1:8" ht="14.4" x14ac:dyDescent="0.3">
      <c r="A818" s="50">
        <v>2279</v>
      </c>
      <c r="B818" s="51">
        <v>20000340012</v>
      </c>
      <c r="C818" s="52" t="s">
        <v>935</v>
      </c>
      <c r="D818" s="52" t="s">
        <v>936</v>
      </c>
      <c r="E818" s="52" t="s">
        <v>663</v>
      </c>
      <c r="F818" s="52" t="s">
        <v>777</v>
      </c>
      <c r="G818" s="52" t="s">
        <v>244</v>
      </c>
      <c r="H818" s="52">
        <v>1</v>
      </c>
    </row>
    <row r="819" spans="1:8" ht="14.4" x14ac:dyDescent="0.3">
      <c r="A819" s="50">
        <v>2280</v>
      </c>
      <c r="B819" s="51">
        <v>20000310012</v>
      </c>
      <c r="C819" s="52" t="s">
        <v>792</v>
      </c>
      <c r="D819" s="52" t="s">
        <v>793</v>
      </c>
      <c r="E819" s="52" t="s">
        <v>3439</v>
      </c>
      <c r="F819" s="52" t="s">
        <v>775</v>
      </c>
      <c r="G819" s="52" t="s">
        <v>244</v>
      </c>
      <c r="H819" s="52">
        <v>1</v>
      </c>
    </row>
    <row r="820" spans="1:8" ht="14.4" x14ac:dyDescent="0.3">
      <c r="A820" s="50">
        <v>2281</v>
      </c>
      <c r="B820" s="51">
        <v>20000110107</v>
      </c>
      <c r="C820" s="52" t="s">
        <v>657</v>
      </c>
      <c r="D820" s="52" t="s">
        <v>658</v>
      </c>
      <c r="E820" s="52" t="s">
        <v>633</v>
      </c>
      <c r="F820" s="52" t="s">
        <v>656</v>
      </c>
      <c r="G820" s="52" t="s">
        <v>244</v>
      </c>
      <c r="H820" s="52">
        <v>1</v>
      </c>
    </row>
    <row r="821" spans="1:8" ht="14.4" x14ac:dyDescent="0.3">
      <c r="A821" s="50">
        <v>2282</v>
      </c>
      <c r="B821" s="51">
        <v>20000310012</v>
      </c>
      <c r="C821" s="52" t="s">
        <v>805</v>
      </c>
      <c r="D821" s="52" t="s">
        <v>806</v>
      </c>
      <c r="E821" s="52" t="s">
        <v>663</v>
      </c>
      <c r="F821" s="52" t="s">
        <v>777</v>
      </c>
      <c r="G821" s="52" t="s">
        <v>244</v>
      </c>
      <c r="H821" s="52">
        <v>1</v>
      </c>
    </row>
    <row r="822" spans="1:8" ht="14.4" x14ac:dyDescent="0.3">
      <c r="A822" s="50">
        <v>2283</v>
      </c>
      <c r="B822" s="51">
        <v>20000310012</v>
      </c>
      <c r="C822" s="52" t="s">
        <v>807</v>
      </c>
      <c r="D822" s="52" t="s">
        <v>808</v>
      </c>
      <c r="E822" s="52" t="s">
        <v>663</v>
      </c>
      <c r="F822" s="52" t="s">
        <v>777</v>
      </c>
      <c r="G822" s="52" t="s">
        <v>244</v>
      </c>
      <c r="H822" s="52">
        <v>0.5</v>
      </c>
    </row>
    <row r="823" spans="1:8" ht="14.4" x14ac:dyDescent="0.3">
      <c r="A823" s="50">
        <v>2284</v>
      </c>
      <c r="B823" s="51">
        <v>20000330012</v>
      </c>
      <c r="C823" s="52" t="s">
        <v>902</v>
      </c>
      <c r="D823" s="52" t="s">
        <v>670</v>
      </c>
      <c r="E823" s="52" t="s">
        <v>663</v>
      </c>
      <c r="F823" s="52" t="s">
        <v>777</v>
      </c>
      <c r="G823" s="52" t="s">
        <v>244</v>
      </c>
      <c r="H823" s="52">
        <v>1</v>
      </c>
    </row>
    <row r="824" spans="1:8" ht="14.4" x14ac:dyDescent="0.3">
      <c r="A824" s="50">
        <v>2285</v>
      </c>
      <c r="B824" s="51">
        <v>20000310012</v>
      </c>
      <c r="C824" s="52" t="s">
        <v>798</v>
      </c>
      <c r="D824" s="52" t="s">
        <v>799</v>
      </c>
      <c r="E824" s="52" t="s">
        <v>663</v>
      </c>
      <c r="F824" s="52" t="s">
        <v>777</v>
      </c>
      <c r="G824" s="52" t="s">
        <v>244</v>
      </c>
      <c r="H824" s="52">
        <v>1</v>
      </c>
    </row>
    <row r="825" spans="1:8" ht="14.4" x14ac:dyDescent="0.3">
      <c r="A825" s="50">
        <v>2286</v>
      </c>
      <c r="B825" s="51">
        <v>20000310012</v>
      </c>
      <c r="C825" s="52" t="s">
        <v>776</v>
      </c>
      <c r="D825" s="52" t="s">
        <v>684</v>
      </c>
      <c r="E825" s="52" t="s">
        <v>663</v>
      </c>
      <c r="F825" s="52" t="s">
        <v>777</v>
      </c>
      <c r="G825" s="52" t="s">
        <v>244</v>
      </c>
      <c r="H825" s="52">
        <v>0.6</v>
      </c>
    </row>
    <row r="826" spans="1:8" ht="14.4" x14ac:dyDescent="0.3">
      <c r="A826" s="50">
        <v>2287</v>
      </c>
      <c r="B826" s="51">
        <v>20000310012</v>
      </c>
      <c r="C826" s="52" t="s">
        <v>841</v>
      </c>
      <c r="D826" s="52" t="s">
        <v>842</v>
      </c>
      <c r="E826" s="52" t="s">
        <v>2929</v>
      </c>
      <c r="F826" s="52" t="s">
        <v>777</v>
      </c>
      <c r="G826" s="52" t="s">
        <v>213</v>
      </c>
      <c r="H826" s="52">
        <v>1</v>
      </c>
    </row>
    <row r="827" spans="1:8" ht="14.4" x14ac:dyDescent="0.3">
      <c r="A827" s="50">
        <v>2288</v>
      </c>
      <c r="B827" s="51">
        <v>20000360011</v>
      </c>
      <c r="C827" s="52" t="s">
        <v>956</v>
      </c>
      <c r="D827" s="52" t="s">
        <v>844</v>
      </c>
      <c r="E827" s="52" t="s">
        <v>955</v>
      </c>
      <c r="F827" s="52" t="s">
        <v>742</v>
      </c>
      <c r="G827" s="52" t="s">
        <v>244</v>
      </c>
      <c r="H827" s="52">
        <v>1</v>
      </c>
    </row>
    <row r="828" spans="1:8" ht="14.4" x14ac:dyDescent="0.3">
      <c r="A828" s="50">
        <v>2289</v>
      </c>
      <c r="B828" s="51">
        <v>20001101049</v>
      </c>
      <c r="C828" s="52" t="s">
        <v>837</v>
      </c>
      <c r="D828" s="52" t="s">
        <v>1668</v>
      </c>
      <c r="E828" s="52" t="s">
        <v>1657</v>
      </c>
      <c r="F828" s="52" t="s">
        <v>775</v>
      </c>
      <c r="G828" s="52" t="s">
        <v>244</v>
      </c>
      <c r="H828" s="52">
        <v>1</v>
      </c>
    </row>
    <row r="829" spans="1:8" ht="14.4" x14ac:dyDescent="0.3">
      <c r="A829" s="50">
        <v>2290</v>
      </c>
      <c r="B829" s="51">
        <v>20001100108</v>
      </c>
      <c r="C829" s="52" t="s">
        <v>1629</v>
      </c>
      <c r="D829" s="52" t="s">
        <v>1630</v>
      </c>
      <c r="E829" s="52" t="s">
        <v>1631</v>
      </c>
      <c r="F829" s="52" t="s">
        <v>1428</v>
      </c>
      <c r="G829" s="52" t="s">
        <v>244</v>
      </c>
      <c r="H829" s="52">
        <v>1</v>
      </c>
    </row>
    <row r="830" spans="1:8" ht="14.4" x14ac:dyDescent="0.3">
      <c r="A830" s="50">
        <v>2291</v>
      </c>
      <c r="B830" s="51">
        <v>20000310012</v>
      </c>
      <c r="C830" s="52" t="s">
        <v>813</v>
      </c>
      <c r="D830" s="52" t="s">
        <v>700</v>
      </c>
      <c r="E830" s="52" t="s">
        <v>3439</v>
      </c>
      <c r="F830" s="52" t="s">
        <v>777</v>
      </c>
      <c r="G830" s="52" t="s">
        <v>244</v>
      </c>
      <c r="H830" s="52">
        <v>1</v>
      </c>
    </row>
    <row r="831" spans="1:8" ht="14.4" x14ac:dyDescent="0.3">
      <c r="A831" s="50">
        <v>2292</v>
      </c>
      <c r="B831" s="51">
        <v>20000340012</v>
      </c>
      <c r="C831" s="52" t="s">
        <v>937</v>
      </c>
      <c r="D831" s="52" t="s">
        <v>700</v>
      </c>
      <c r="E831" s="52" t="s">
        <v>2966</v>
      </c>
      <c r="F831" s="52" t="s">
        <v>777</v>
      </c>
      <c r="G831" s="52" t="s">
        <v>244</v>
      </c>
      <c r="H831" s="52">
        <v>1</v>
      </c>
    </row>
    <row r="832" spans="1:8" ht="14.4" x14ac:dyDescent="0.3">
      <c r="A832" s="50">
        <v>2293</v>
      </c>
      <c r="B832" s="51">
        <v>20001101056</v>
      </c>
      <c r="C832" s="52" t="s">
        <v>1680</v>
      </c>
      <c r="D832" s="52" t="s">
        <v>741</v>
      </c>
      <c r="E832" s="52" t="s">
        <v>1631</v>
      </c>
      <c r="F832" s="52" t="s">
        <v>656</v>
      </c>
      <c r="G832" s="52" t="s">
        <v>244</v>
      </c>
      <c r="H832" s="52">
        <v>1</v>
      </c>
    </row>
    <row r="833" spans="1:8" ht="14.4" x14ac:dyDescent="0.3">
      <c r="A833" s="50">
        <v>2294</v>
      </c>
      <c r="B833" s="51">
        <v>20001101045</v>
      </c>
      <c r="C833" s="52" t="s">
        <v>1649</v>
      </c>
      <c r="D833" s="52" t="s">
        <v>1650</v>
      </c>
      <c r="E833" s="52" t="s">
        <v>1639</v>
      </c>
      <c r="F833" s="52" t="s">
        <v>1056</v>
      </c>
      <c r="G833" s="52" t="s">
        <v>244</v>
      </c>
      <c r="H833" s="52">
        <v>1</v>
      </c>
    </row>
    <row r="834" spans="1:8" ht="14.4" x14ac:dyDescent="0.3">
      <c r="A834" s="50">
        <v>2295</v>
      </c>
      <c r="B834" s="51">
        <v>20000360012</v>
      </c>
      <c r="C834" s="52" t="s">
        <v>965</v>
      </c>
      <c r="D834" s="52" t="s">
        <v>966</v>
      </c>
      <c r="E834" s="52" t="s">
        <v>962</v>
      </c>
      <c r="F834" s="52" t="s">
        <v>777</v>
      </c>
      <c r="G834" s="52" t="s">
        <v>244</v>
      </c>
      <c r="H834" s="52">
        <v>1</v>
      </c>
    </row>
    <row r="835" spans="1:8" ht="14.4" x14ac:dyDescent="0.3">
      <c r="A835" s="50">
        <v>2296</v>
      </c>
      <c r="B835" s="51">
        <v>20001101037</v>
      </c>
      <c r="C835" s="52" t="s">
        <v>1632</v>
      </c>
      <c r="D835" s="52" t="s">
        <v>1330</v>
      </c>
      <c r="E835" s="52" t="s">
        <v>3445</v>
      </c>
      <c r="F835" s="52" t="s">
        <v>1327</v>
      </c>
      <c r="G835" s="52" t="s">
        <v>244</v>
      </c>
      <c r="H835" s="52">
        <v>1</v>
      </c>
    </row>
    <row r="836" spans="1:8" ht="14.4" x14ac:dyDescent="0.3">
      <c r="A836" s="50">
        <v>2297</v>
      </c>
      <c r="B836" s="51">
        <v>20009001104</v>
      </c>
      <c r="C836" s="52" t="s">
        <v>2009</v>
      </c>
      <c r="D836" s="52" t="s">
        <v>772</v>
      </c>
      <c r="E836" s="52" t="s">
        <v>1970</v>
      </c>
      <c r="F836" s="52" t="s">
        <v>775</v>
      </c>
      <c r="G836" s="52" t="s">
        <v>244</v>
      </c>
      <c r="H836" s="52">
        <v>1</v>
      </c>
    </row>
    <row r="837" spans="1:8" ht="14.4" x14ac:dyDescent="0.3">
      <c r="A837" s="50">
        <v>2298</v>
      </c>
      <c r="B837" s="51">
        <v>20001101049</v>
      </c>
      <c r="C837" s="52" t="s">
        <v>1655</v>
      </c>
      <c r="D837" s="52" t="s">
        <v>1656</v>
      </c>
      <c r="E837" s="52" t="s">
        <v>1657</v>
      </c>
      <c r="F837" s="52" t="s">
        <v>775</v>
      </c>
      <c r="G837" s="52" t="s">
        <v>244</v>
      </c>
      <c r="H837" s="52">
        <v>1</v>
      </c>
    </row>
    <row r="838" spans="1:8" ht="14.4" x14ac:dyDescent="0.3">
      <c r="A838" s="50">
        <v>2299</v>
      </c>
      <c r="B838" s="51">
        <v>20022001101</v>
      </c>
      <c r="C838" s="52" t="s">
        <v>2296</v>
      </c>
      <c r="D838" s="52" t="s">
        <v>2297</v>
      </c>
      <c r="E838" s="52" t="s">
        <v>2100</v>
      </c>
      <c r="F838" s="52" t="s">
        <v>656</v>
      </c>
      <c r="G838" s="52" t="s">
        <v>213</v>
      </c>
      <c r="H838" s="52">
        <v>1</v>
      </c>
    </row>
    <row r="839" spans="1:8" ht="14.4" x14ac:dyDescent="0.3">
      <c r="A839" s="50">
        <v>2300</v>
      </c>
      <c r="B839" s="51">
        <v>20001102060</v>
      </c>
      <c r="C839" s="52" t="s">
        <v>1694</v>
      </c>
      <c r="D839" s="52" t="s">
        <v>697</v>
      </c>
      <c r="E839" s="52" t="s">
        <v>1642</v>
      </c>
      <c r="F839" s="52" t="s">
        <v>1428</v>
      </c>
      <c r="G839" s="52" t="s">
        <v>213</v>
      </c>
      <c r="H839" s="52">
        <v>1</v>
      </c>
    </row>
    <row r="840" spans="1:8" ht="14.4" x14ac:dyDescent="0.3">
      <c r="A840" s="50">
        <v>2301</v>
      </c>
      <c r="B840" s="51">
        <v>20000310012</v>
      </c>
      <c r="C840" s="52" t="s">
        <v>809</v>
      </c>
      <c r="D840" s="52" t="s">
        <v>810</v>
      </c>
      <c r="E840" s="52" t="s">
        <v>663</v>
      </c>
      <c r="F840" s="52" t="s">
        <v>777</v>
      </c>
      <c r="G840" s="52" t="s">
        <v>244</v>
      </c>
      <c r="H840" s="52">
        <v>0.5</v>
      </c>
    </row>
    <row r="841" spans="1:8" ht="14.4" x14ac:dyDescent="0.3">
      <c r="A841" s="50">
        <v>2302</v>
      </c>
      <c r="B841" s="51">
        <v>20000360012</v>
      </c>
      <c r="C841" s="52" t="s">
        <v>2408</v>
      </c>
      <c r="D841" s="52" t="s">
        <v>934</v>
      </c>
      <c r="E841" s="52" t="s">
        <v>955</v>
      </c>
      <c r="F841" s="52" t="s">
        <v>777</v>
      </c>
      <c r="G841" s="52" t="s">
        <v>213</v>
      </c>
      <c r="H841" s="52">
        <v>1</v>
      </c>
    </row>
    <row r="842" spans="1:8" ht="14.4" x14ac:dyDescent="0.3">
      <c r="A842" s="50">
        <v>2303</v>
      </c>
      <c r="B842" s="51">
        <v>20000330012</v>
      </c>
      <c r="C842" s="52" t="s">
        <v>2428</v>
      </c>
      <c r="D842" s="52" t="s">
        <v>2429</v>
      </c>
      <c r="E842" s="52" t="s">
        <v>663</v>
      </c>
      <c r="F842" s="52" t="s">
        <v>777</v>
      </c>
      <c r="G842" s="52" t="s">
        <v>244</v>
      </c>
      <c r="H842" s="52">
        <v>1</v>
      </c>
    </row>
    <row r="843" spans="1:8" ht="14.4" x14ac:dyDescent="0.3">
      <c r="A843" s="50">
        <v>2304</v>
      </c>
      <c r="B843" s="51">
        <v>20000330012</v>
      </c>
      <c r="C843" s="52" t="s">
        <v>2430</v>
      </c>
      <c r="D843" s="52" t="s">
        <v>2431</v>
      </c>
      <c r="E843" s="52" t="s">
        <v>2930</v>
      </c>
      <c r="F843" s="52" t="s">
        <v>777</v>
      </c>
      <c r="G843" s="52" t="s">
        <v>244</v>
      </c>
      <c r="H843" s="52">
        <v>1</v>
      </c>
    </row>
    <row r="844" spans="1:8" ht="14.4" x14ac:dyDescent="0.3">
      <c r="A844" s="50">
        <v>2443</v>
      </c>
      <c r="B844" s="51">
        <v>20000330012</v>
      </c>
      <c r="C844" s="52" t="s">
        <v>906</v>
      </c>
      <c r="D844" s="52" t="s">
        <v>907</v>
      </c>
      <c r="E844" s="52" t="s">
        <v>2856</v>
      </c>
      <c r="F844" s="52" t="s">
        <v>777</v>
      </c>
      <c r="G844" s="52" t="s">
        <v>213</v>
      </c>
      <c r="H844" s="52">
        <v>1</v>
      </c>
    </row>
    <row r="845" spans="1:8" ht="14.4" x14ac:dyDescent="0.3">
      <c r="A845" s="50">
        <v>3001</v>
      </c>
      <c r="B845" s="51">
        <v>20001051038</v>
      </c>
      <c r="C845" s="52" t="s">
        <v>1343</v>
      </c>
      <c r="D845" s="52" t="s">
        <v>1344</v>
      </c>
      <c r="E845" s="52" t="s">
        <v>3448</v>
      </c>
      <c r="F845" s="52" t="s">
        <v>656</v>
      </c>
      <c r="G845" s="52" t="s">
        <v>244</v>
      </c>
      <c r="H845" s="52">
        <v>1</v>
      </c>
    </row>
    <row r="846" spans="1:8" ht="14.4" x14ac:dyDescent="0.3">
      <c r="A846" s="50">
        <v>3003</v>
      </c>
      <c r="B846" s="51">
        <v>20001051038</v>
      </c>
      <c r="C846" s="52" t="s">
        <v>1339</v>
      </c>
      <c r="D846" s="52" t="s">
        <v>1340</v>
      </c>
      <c r="E846" s="52" t="s">
        <v>1326</v>
      </c>
      <c r="F846" s="52" t="s">
        <v>656</v>
      </c>
      <c r="G846" s="52" t="s">
        <v>213</v>
      </c>
      <c r="H846" s="52">
        <v>1</v>
      </c>
    </row>
    <row r="847" spans="1:8" ht="14.4" x14ac:dyDescent="0.3">
      <c r="A847" s="50">
        <v>3004</v>
      </c>
      <c r="B847" s="51">
        <v>20001051038</v>
      </c>
      <c r="C847" s="52" t="s">
        <v>1361</v>
      </c>
      <c r="D847" s="52" t="s">
        <v>715</v>
      </c>
      <c r="E847" s="52" t="s">
        <v>3448</v>
      </c>
      <c r="F847" s="52" t="s">
        <v>656</v>
      </c>
      <c r="G847" s="52" t="s">
        <v>244</v>
      </c>
      <c r="H847" s="52">
        <v>1</v>
      </c>
    </row>
    <row r="848" spans="1:8" ht="14.4" x14ac:dyDescent="0.3">
      <c r="A848" s="50">
        <v>3005</v>
      </c>
      <c r="B848" s="51">
        <v>20001051038</v>
      </c>
      <c r="C848" s="52" t="s">
        <v>1357</v>
      </c>
      <c r="D848" s="52" t="s">
        <v>1358</v>
      </c>
      <c r="E848" s="52" t="s">
        <v>1326</v>
      </c>
      <c r="F848" s="52" t="s">
        <v>656</v>
      </c>
      <c r="G848" s="52" t="s">
        <v>213</v>
      </c>
      <c r="H848" s="52">
        <v>1</v>
      </c>
    </row>
    <row r="849" spans="1:8" ht="14.4" x14ac:dyDescent="0.3">
      <c r="A849" s="50">
        <v>3007</v>
      </c>
      <c r="B849" s="51">
        <v>20001051054</v>
      </c>
      <c r="C849" s="52" t="s">
        <v>1419</v>
      </c>
      <c r="D849" s="52" t="s">
        <v>844</v>
      </c>
      <c r="E849" s="52" t="s">
        <v>1414</v>
      </c>
      <c r="F849" s="52" t="s">
        <v>656</v>
      </c>
      <c r="G849" s="52" t="s">
        <v>213</v>
      </c>
      <c r="H849" s="52">
        <v>1</v>
      </c>
    </row>
    <row r="850" spans="1:8" ht="14.4" x14ac:dyDescent="0.3">
      <c r="A850" s="50">
        <v>3008</v>
      </c>
      <c r="B850" s="51">
        <v>20001051046</v>
      </c>
      <c r="C850" s="52" t="s">
        <v>1404</v>
      </c>
      <c r="D850" s="52" t="s">
        <v>1405</v>
      </c>
      <c r="E850" s="52" t="s">
        <v>1326</v>
      </c>
      <c r="F850" s="52" t="s">
        <v>775</v>
      </c>
      <c r="G850" s="52" t="s">
        <v>213</v>
      </c>
      <c r="H850" s="52">
        <v>1</v>
      </c>
    </row>
    <row r="851" spans="1:8" ht="14.4" x14ac:dyDescent="0.3">
      <c r="A851" s="50">
        <v>3010</v>
      </c>
      <c r="B851" s="51">
        <v>20001101056</v>
      </c>
      <c r="C851" s="52" t="s">
        <v>1676</v>
      </c>
      <c r="D851" s="52" t="s">
        <v>785</v>
      </c>
      <c r="E851" s="52" t="s">
        <v>3266</v>
      </c>
      <c r="F851" s="52" t="s">
        <v>656</v>
      </c>
      <c r="G851" s="52" t="s">
        <v>244</v>
      </c>
      <c r="H851" s="52">
        <v>1</v>
      </c>
    </row>
    <row r="852" spans="1:8" ht="14.4" x14ac:dyDescent="0.3">
      <c r="A852" s="50">
        <v>3012</v>
      </c>
      <c r="B852" s="51">
        <v>20017050135</v>
      </c>
      <c r="C852" s="52" t="s">
        <v>1345</v>
      </c>
      <c r="D852" s="52" t="s">
        <v>932</v>
      </c>
      <c r="E852" s="52" t="s">
        <v>2858</v>
      </c>
      <c r="F852" s="52" t="s">
        <v>656</v>
      </c>
      <c r="G852" s="52" t="s">
        <v>244</v>
      </c>
      <c r="H852" s="52">
        <v>1</v>
      </c>
    </row>
    <row r="853" spans="1:8" ht="14.4" x14ac:dyDescent="0.3">
      <c r="A853" s="50">
        <v>3014</v>
      </c>
      <c r="B853" s="51">
        <v>20001051038</v>
      </c>
      <c r="C853" s="52" t="s">
        <v>1336</v>
      </c>
      <c r="D853" s="52" t="s">
        <v>1108</v>
      </c>
      <c r="E853" s="52" t="s">
        <v>1326</v>
      </c>
      <c r="F853" s="52" t="s">
        <v>656</v>
      </c>
      <c r="G853" s="52" t="s">
        <v>213</v>
      </c>
      <c r="H853" s="52">
        <v>1</v>
      </c>
    </row>
    <row r="854" spans="1:8" ht="14.4" x14ac:dyDescent="0.3">
      <c r="A854" s="50">
        <v>3015</v>
      </c>
      <c r="B854" s="51">
        <v>20001051050</v>
      </c>
      <c r="C854" s="52" t="s">
        <v>1409</v>
      </c>
      <c r="D854" s="52" t="s">
        <v>730</v>
      </c>
      <c r="E854" s="52" t="s">
        <v>1326</v>
      </c>
      <c r="F854" s="52" t="s">
        <v>1410</v>
      </c>
      <c r="G854" s="52" t="s">
        <v>213</v>
      </c>
      <c r="H854" s="52">
        <v>1</v>
      </c>
    </row>
    <row r="855" spans="1:8" ht="14.4" x14ac:dyDescent="0.3">
      <c r="A855" s="50">
        <v>3018</v>
      </c>
      <c r="B855" s="51">
        <v>20009001102</v>
      </c>
      <c r="C855" s="52" t="s">
        <v>1984</v>
      </c>
      <c r="D855" s="52" t="s">
        <v>901</v>
      </c>
      <c r="E855" s="52" t="s">
        <v>1970</v>
      </c>
      <c r="F855" s="52" t="s">
        <v>656</v>
      </c>
      <c r="G855" s="52" t="s">
        <v>213</v>
      </c>
      <c r="H855" s="52">
        <v>1</v>
      </c>
    </row>
    <row r="856" spans="1:8" ht="14.4" x14ac:dyDescent="0.3">
      <c r="A856" s="50">
        <v>3020</v>
      </c>
      <c r="B856" s="51">
        <v>20009001102</v>
      </c>
      <c r="C856" s="52" t="s">
        <v>1975</v>
      </c>
      <c r="D856" s="52" t="s">
        <v>887</v>
      </c>
      <c r="E856" s="52" t="s">
        <v>1970</v>
      </c>
      <c r="F856" s="52" t="s">
        <v>656</v>
      </c>
      <c r="G856" s="52" t="s">
        <v>213</v>
      </c>
      <c r="H856" s="52">
        <v>1</v>
      </c>
    </row>
    <row r="857" spans="1:8" ht="14.4" x14ac:dyDescent="0.3">
      <c r="A857" s="50">
        <v>3023</v>
      </c>
      <c r="B857" s="51">
        <v>20020051043</v>
      </c>
      <c r="C857" s="52" t="s">
        <v>2210</v>
      </c>
      <c r="D857" s="52" t="s">
        <v>2823</v>
      </c>
      <c r="E857" s="52" t="s">
        <v>2209</v>
      </c>
      <c r="F857" s="52" t="s">
        <v>1056</v>
      </c>
      <c r="G857" s="52" t="s">
        <v>213</v>
      </c>
      <c r="H857" s="52">
        <v>1</v>
      </c>
    </row>
    <row r="858" spans="1:8" ht="14.4" x14ac:dyDescent="0.3">
      <c r="A858" s="50">
        <v>3025</v>
      </c>
      <c r="B858" s="51">
        <v>20001051038</v>
      </c>
      <c r="C858" s="52" t="s">
        <v>1351</v>
      </c>
      <c r="D858" s="52" t="s">
        <v>1352</v>
      </c>
      <c r="E858" s="52" t="s">
        <v>1326</v>
      </c>
      <c r="F858" s="52" t="s">
        <v>656</v>
      </c>
      <c r="G858" s="52" t="s">
        <v>213</v>
      </c>
      <c r="H858" s="52">
        <v>1</v>
      </c>
    </row>
    <row r="859" spans="1:8" ht="14.4" x14ac:dyDescent="0.3">
      <c r="A859" s="50">
        <v>3026</v>
      </c>
      <c r="B859" s="51">
        <v>20001051042</v>
      </c>
      <c r="C859" s="52" t="s">
        <v>1367</v>
      </c>
      <c r="D859" s="52" t="s">
        <v>948</v>
      </c>
      <c r="E859" s="52" t="s">
        <v>1326</v>
      </c>
      <c r="F859" s="52" t="s">
        <v>1056</v>
      </c>
      <c r="G859" s="52" t="s">
        <v>213</v>
      </c>
      <c r="H859" s="52">
        <v>1</v>
      </c>
    </row>
    <row r="860" spans="1:8" ht="14.4" x14ac:dyDescent="0.3">
      <c r="A860" s="50">
        <v>3029</v>
      </c>
      <c r="B860" s="51">
        <v>20009001103</v>
      </c>
      <c r="C860" s="52" t="s">
        <v>2000</v>
      </c>
      <c r="D860" s="52" t="s">
        <v>844</v>
      </c>
      <c r="E860" s="52" t="s">
        <v>1970</v>
      </c>
      <c r="F860" s="52" t="s">
        <v>1056</v>
      </c>
      <c r="G860" s="52" t="s">
        <v>244</v>
      </c>
      <c r="H860" s="52">
        <v>1</v>
      </c>
    </row>
    <row r="861" spans="1:8" ht="14.4" x14ac:dyDescent="0.3">
      <c r="A861" s="50">
        <v>3030</v>
      </c>
      <c r="B861" s="51">
        <v>20009001103</v>
      </c>
      <c r="C861" s="52" t="s">
        <v>2002</v>
      </c>
      <c r="D861" s="52" t="s">
        <v>897</v>
      </c>
      <c r="E861" s="52" t="s">
        <v>1967</v>
      </c>
      <c r="F861" s="52" t="s">
        <v>1056</v>
      </c>
      <c r="G861" s="52" t="s">
        <v>213</v>
      </c>
      <c r="H861" s="52">
        <v>1</v>
      </c>
    </row>
    <row r="862" spans="1:8" ht="14.4" x14ac:dyDescent="0.3">
      <c r="A862" s="50">
        <v>3031</v>
      </c>
      <c r="B862" s="51">
        <v>20009001103</v>
      </c>
      <c r="C862" s="52" t="s">
        <v>2001</v>
      </c>
      <c r="D862" s="52" t="s">
        <v>1557</v>
      </c>
      <c r="E862" s="52" t="s">
        <v>1970</v>
      </c>
      <c r="F862" s="52" t="s">
        <v>1056</v>
      </c>
      <c r="G862" s="52" t="s">
        <v>213</v>
      </c>
      <c r="H862" s="52">
        <v>1</v>
      </c>
    </row>
    <row r="863" spans="1:8" ht="14.4" x14ac:dyDescent="0.3">
      <c r="A863" s="50">
        <v>3034</v>
      </c>
      <c r="B863" s="51">
        <v>20009001102</v>
      </c>
      <c r="C863" s="52" t="s">
        <v>1543</v>
      </c>
      <c r="D863" s="52" t="s">
        <v>844</v>
      </c>
      <c r="E863" s="52" t="s">
        <v>1970</v>
      </c>
      <c r="F863" s="52" t="s">
        <v>656</v>
      </c>
      <c r="G863" s="52" t="s">
        <v>213</v>
      </c>
      <c r="H863" s="52">
        <v>1</v>
      </c>
    </row>
    <row r="864" spans="1:8" ht="14.4" x14ac:dyDescent="0.3">
      <c r="A864" s="50">
        <v>3035</v>
      </c>
      <c r="B864" s="51">
        <v>20009001104</v>
      </c>
      <c r="C864" s="52" t="s">
        <v>1826</v>
      </c>
      <c r="D864" s="52" t="s">
        <v>1806</v>
      </c>
      <c r="E864" s="52" t="s">
        <v>1970</v>
      </c>
      <c r="F864" s="52" t="s">
        <v>775</v>
      </c>
      <c r="G864" s="52" t="s">
        <v>213</v>
      </c>
      <c r="H864" s="52">
        <v>1</v>
      </c>
    </row>
    <row r="865" spans="1:8" ht="14.4" x14ac:dyDescent="0.3">
      <c r="A865" s="50">
        <v>3037</v>
      </c>
      <c r="B865" s="51">
        <v>20001051038</v>
      </c>
      <c r="C865" s="52" t="s">
        <v>3036</v>
      </c>
      <c r="D865" s="52" t="s">
        <v>1338</v>
      </c>
      <c r="E865" s="52" t="s">
        <v>1326</v>
      </c>
      <c r="F865" s="52" t="s">
        <v>656</v>
      </c>
      <c r="G865" s="52" t="s">
        <v>213</v>
      </c>
      <c r="H865" s="52">
        <v>1</v>
      </c>
    </row>
    <row r="866" spans="1:8" ht="14.4" x14ac:dyDescent="0.3">
      <c r="A866" s="50">
        <v>3040</v>
      </c>
      <c r="B866" s="51">
        <v>20009001102</v>
      </c>
      <c r="C866" s="52" t="s">
        <v>1985</v>
      </c>
      <c r="D866" s="52" t="s">
        <v>1986</v>
      </c>
      <c r="E866" s="52" t="s">
        <v>1970</v>
      </c>
      <c r="F866" s="52" t="s">
        <v>656</v>
      </c>
      <c r="G866" s="52" t="s">
        <v>213</v>
      </c>
      <c r="H866" s="52">
        <v>1</v>
      </c>
    </row>
    <row r="867" spans="1:8" ht="14.4" x14ac:dyDescent="0.3">
      <c r="A867" s="50">
        <v>3042</v>
      </c>
      <c r="B867" s="51">
        <v>20001101056</v>
      </c>
      <c r="C867" s="52" t="s">
        <v>1672</v>
      </c>
      <c r="D867" s="52" t="s">
        <v>1673</v>
      </c>
      <c r="E867" s="52" t="s">
        <v>1628</v>
      </c>
      <c r="F867" s="52" t="s">
        <v>656</v>
      </c>
      <c r="G867" s="52" t="s">
        <v>244</v>
      </c>
      <c r="H867" s="52">
        <v>1</v>
      </c>
    </row>
    <row r="868" spans="1:8" ht="14.4" x14ac:dyDescent="0.3">
      <c r="A868" s="50">
        <v>3047</v>
      </c>
      <c r="B868" s="51">
        <v>20001051038</v>
      </c>
      <c r="C868" s="52" t="s">
        <v>1362</v>
      </c>
      <c r="D868" s="52" t="s">
        <v>1363</v>
      </c>
      <c r="E868" s="52" t="s">
        <v>1326</v>
      </c>
      <c r="F868" s="52" t="s">
        <v>656</v>
      </c>
      <c r="G868" s="52" t="s">
        <v>213</v>
      </c>
      <c r="H868" s="52">
        <v>1</v>
      </c>
    </row>
    <row r="869" spans="1:8" ht="14.4" x14ac:dyDescent="0.3">
      <c r="A869" s="50">
        <v>3052</v>
      </c>
      <c r="B869" s="51">
        <v>20001051054</v>
      </c>
      <c r="C869" s="52" t="s">
        <v>1420</v>
      </c>
      <c r="D869" s="52" t="s">
        <v>1421</v>
      </c>
      <c r="E869" s="52" t="s">
        <v>1414</v>
      </c>
      <c r="F869" s="52" t="s">
        <v>656</v>
      </c>
      <c r="G869" s="52" t="s">
        <v>244</v>
      </c>
      <c r="H869" s="52">
        <v>1</v>
      </c>
    </row>
    <row r="870" spans="1:8" ht="14.4" x14ac:dyDescent="0.3">
      <c r="A870" s="50">
        <v>3053</v>
      </c>
      <c r="B870" s="51">
        <v>20001051054</v>
      </c>
      <c r="C870" s="52" t="s">
        <v>1256</v>
      </c>
      <c r="D870" s="52" t="s">
        <v>897</v>
      </c>
      <c r="E870" s="52" t="s">
        <v>1414</v>
      </c>
      <c r="F870" s="52" t="s">
        <v>656</v>
      </c>
      <c r="G870" s="52" t="s">
        <v>213</v>
      </c>
      <c r="H870" s="52">
        <v>1</v>
      </c>
    </row>
    <row r="871" spans="1:8" ht="14.4" x14ac:dyDescent="0.3">
      <c r="A871" s="50">
        <v>3054</v>
      </c>
      <c r="B871" s="51">
        <v>20001051046</v>
      </c>
      <c r="C871" s="52" t="s">
        <v>1406</v>
      </c>
      <c r="D871" s="52" t="s">
        <v>852</v>
      </c>
      <c r="E871" s="52" t="s">
        <v>1326</v>
      </c>
      <c r="F871" s="52" t="s">
        <v>775</v>
      </c>
      <c r="G871" s="52" t="s">
        <v>213</v>
      </c>
      <c r="H871" s="52">
        <v>1</v>
      </c>
    </row>
    <row r="872" spans="1:8" ht="14.4" x14ac:dyDescent="0.3">
      <c r="A872" s="50">
        <v>3064</v>
      </c>
      <c r="B872" s="51">
        <v>20001051050</v>
      </c>
      <c r="C872" s="52" t="s">
        <v>1412</v>
      </c>
      <c r="D872" s="52" t="s">
        <v>1413</v>
      </c>
      <c r="E872" s="52" t="s">
        <v>1326</v>
      </c>
      <c r="F872" s="52" t="s">
        <v>1410</v>
      </c>
      <c r="G872" s="52" t="s">
        <v>213</v>
      </c>
      <c r="H872" s="52">
        <v>1</v>
      </c>
    </row>
    <row r="873" spans="1:8" ht="14.4" x14ac:dyDescent="0.3">
      <c r="A873" s="50">
        <v>3065</v>
      </c>
      <c r="B873" s="51">
        <v>20001051042</v>
      </c>
      <c r="C873" s="52" t="s">
        <v>901</v>
      </c>
      <c r="D873" s="52" t="s">
        <v>1373</v>
      </c>
      <c r="E873" s="52" t="s">
        <v>1326</v>
      </c>
      <c r="F873" s="52" t="s">
        <v>1056</v>
      </c>
      <c r="G873" s="52" t="s">
        <v>213</v>
      </c>
      <c r="H873" s="52">
        <v>1</v>
      </c>
    </row>
    <row r="874" spans="1:8" ht="14.4" x14ac:dyDescent="0.3">
      <c r="A874" s="50">
        <v>3067</v>
      </c>
      <c r="B874" s="51">
        <v>20001051042</v>
      </c>
      <c r="C874" s="52" t="s">
        <v>1371</v>
      </c>
      <c r="D874" s="52" t="s">
        <v>1372</v>
      </c>
      <c r="E874" s="52" t="s">
        <v>1326</v>
      </c>
      <c r="F874" s="52" t="s">
        <v>1056</v>
      </c>
      <c r="G874" s="52" t="s">
        <v>213</v>
      </c>
      <c r="H874" s="52">
        <v>1</v>
      </c>
    </row>
    <row r="875" spans="1:8" ht="14.4" x14ac:dyDescent="0.3">
      <c r="A875" s="50">
        <v>3071</v>
      </c>
      <c r="B875" s="51">
        <v>20001051046</v>
      </c>
      <c r="C875" s="52" t="s">
        <v>1402</v>
      </c>
      <c r="D875" s="52" t="s">
        <v>1403</v>
      </c>
      <c r="E875" s="52" t="s">
        <v>3449</v>
      </c>
      <c r="F875" s="52" t="s">
        <v>775</v>
      </c>
      <c r="G875" s="52" t="s">
        <v>244</v>
      </c>
      <c r="H875" s="52">
        <v>1</v>
      </c>
    </row>
    <row r="876" spans="1:8" ht="14.4" x14ac:dyDescent="0.3">
      <c r="A876" s="50">
        <v>3080</v>
      </c>
      <c r="B876" s="51">
        <v>20020051039</v>
      </c>
      <c r="C876" s="52" t="s">
        <v>1681</v>
      </c>
      <c r="D876" s="52" t="s">
        <v>2208</v>
      </c>
      <c r="E876" s="52" t="s">
        <v>2209</v>
      </c>
      <c r="F876" s="52" t="s">
        <v>656</v>
      </c>
      <c r="G876" s="52" t="s">
        <v>244</v>
      </c>
      <c r="H876" s="52">
        <v>1</v>
      </c>
    </row>
    <row r="877" spans="1:8" ht="14.4" x14ac:dyDescent="0.3">
      <c r="A877" s="50">
        <v>3081</v>
      </c>
      <c r="B877" s="51">
        <v>20020091048</v>
      </c>
      <c r="C877" s="52" t="s">
        <v>696</v>
      </c>
      <c r="D877" s="52" t="s">
        <v>1778</v>
      </c>
      <c r="E877" s="52" t="s">
        <v>2235</v>
      </c>
      <c r="F877" s="52" t="s">
        <v>775</v>
      </c>
      <c r="G877" s="52" t="s">
        <v>244</v>
      </c>
      <c r="H877" s="52">
        <v>1</v>
      </c>
    </row>
    <row r="878" spans="1:8" ht="14.4" x14ac:dyDescent="0.3">
      <c r="A878" s="50">
        <v>3085</v>
      </c>
      <c r="B878" s="51">
        <v>20001101056</v>
      </c>
      <c r="C878" s="52" t="s">
        <v>1693</v>
      </c>
      <c r="D878" s="52" t="s">
        <v>1340</v>
      </c>
      <c r="E878" s="52" t="s">
        <v>3140</v>
      </c>
      <c r="F878" s="52" t="s">
        <v>656</v>
      </c>
      <c r="G878" s="52" t="s">
        <v>244</v>
      </c>
      <c r="H878" s="52">
        <v>1</v>
      </c>
    </row>
    <row r="879" spans="1:8" ht="14.4" x14ac:dyDescent="0.3">
      <c r="A879" s="50">
        <v>3086</v>
      </c>
      <c r="B879" s="51">
        <v>20001051042</v>
      </c>
      <c r="C879" s="52" t="s">
        <v>1368</v>
      </c>
      <c r="D879" s="52" t="s">
        <v>1369</v>
      </c>
      <c r="E879" s="52" t="s">
        <v>1326</v>
      </c>
      <c r="F879" s="52" t="s">
        <v>1056</v>
      </c>
      <c r="G879" s="52" t="s">
        <v>213</v>
      </c>
      <c r="H879" s="52">
        <v>1</v>
      </c>
    </row>
    <row r="880" spans="1:8" ht="14.4" x14ac:dyDescent="0.3">
      <c r="A880" s="50">
        <v>3097</v>
      </c>
      <c r="B880" s="51">
        <v>20020052058</v>
      </c>
      <c r="C880" s="52" t="s">
        <v>1627</v>
      </c>
      <c r="D880" s="52" t="s">
        <v>689</v>
      </c>
      <c r="E880" s="52" t="s">
        <v>2209</v>
      </c>
      <c r="F880" s="52" t="s">
        <v>1428</v>
      </c>
      <c r="G880" s="52" t="s">
        <v>244</v>
      </c>
      <c r="H880" s="52">
        <v>1</v>
      </c>
    </row>
    <row r="881" spans="1:8" ht="14.4" x14ac:dyDescent="0.3">
      <c r="A881" s="50">
        <v>3101</v>
      </c>
      <c r="B881" s="51">
        <v>20062050133</v>
      </c>
      <c r="C881" s="52" t="s">
        <v>1734</v>
      </c>
      <c r="D881" s="52" t="s">
        <v>1735</v>
      </c>
      <c r="E881" s="52" t="s">
        <v>3436</v>
      </c>
      <c r="F881" s="52" t="s">
        <v>628</v>
      </c>
      <c r="G881" s="52" t="s">
        <v>213</v>
      </c>
      <c r="H881" s="52">
        <v>1</v>
      </c>
    </row>
    <row r="882" spans="1:8" ht="14.4" x14ac:dyDescent="0.3">
      <c r="A882" s="36">
        <v>3102</v>
      </c>
      <c r="B882" s="36">
        <v>20061110032</v>
      </c>
      <c r="C882" s="36" t="s">
        <v>2824</v>
      </c>
      <c r="D882" s="36" t="s">
        <v>1042</v>
      </c>
      <c r="E882" s="36" t="s">
        <v>2351</v>
      </c>
      <c r="F882" s="36" t="s">
        <v>628</v>
      </c>
      <c r="G882" s="36" t="s">
        <v>244</v>
      </c>
      <c r="H882" s="36">
        <v>1</v>
      </c>
    </row>
    <row r="883" spans="1:8" ht="14.4" x14ac:dyDescent="0.3">
      <c r="A883" s="36">
        <v>3104</v>
      </c>
      <c r="B883" s="36">
        <v>20021052102</v>
      </c>
      <c r="C883" s="36" t="s">
        <v>1749</v>
      </c>
      <c r="D883" s="36" t="s">
        <v>923</v>
      </c>
      <c r="E883" s="36" t="s">
        <v>2289</v>
      </c>
      <c r="F883" s="36" t="s">
        <v>656</v>
      </c>
      <c r="G883" s="36" t="s">
        <v>244</v>
      </c>
      <c r="H883" s="36">
        <v>1</v>
      </c>
    </row>
    <row r="884" spans="1:8" ht="14.4" x14ac:dyDescent="0.3">
      <c r="A884" s="50">
        <v>3105</v>
      </c>
      <c r="B884" s="51">
        <v>20020052066</v>
      </c>
      <c r="C884" s="52" t="s">
        <v>689</v>
      </c>
      <c r="D884" s="52" t="s">
        <v>2218</v>
      </c>
      <c r="E884" s="52" t="s">
        <v>2209</v>
      </c>
      <c r="F884" s="52" t="s">
        <v>628</v>
      </c>
      <c r="G884" s="52" t="s">
        <v>213</v>
      </c>
      <c r="H884" s="52">
        <v>1</v>
      </c>
    </row>
    <row r="885" spans="1:8" ht="14.4" x14ac:dyDescent="0.3">
      <c r="A885" s="50">
        <v>3117</v>
      </c>
      <c r="B885" s="51">
        <v>20009001105</v>
      </c>
      <c r="C885" s="52" t="s">
        <v>1103</v>
      </c>
      <c r="D885" s="52" t="s">
        <v>1485</v>
      </c>
      <c r="E885" s="52" t="s">
        <v>2774</v>
      </c>
      <c r="F885" s="52" t="s">
        <v>1410</v>
      </c>
      <c r="G885" s="52" t="s">
        <v>244</v>
      </c>
      <c r="H885" s="52">
        <v>1</v>
      </c>
    </row>
    <row r="886" spans="1:8" ht="14.4" x14ac:dyDescent="0.3">
      <c r="A886" s="50">
        <v>3120</v>
      </c>
      <c r="B886" s="51">
        <v>20001051054</v>
      </c>
      <c r="C886" s="52" t="s">
        <v>1416</v>
      </c>
      <c r="D886" s="52" t="s">
        <v>785</v>
      </c>
      <c r="E886" s="52" t="s">
        <v>3450</v>
      </c>
      <c r="F886" s="52" t="s">
        <v>775</v>
      </c>
      <c r="G886" s="52" t="s">
        <v>244</v>
      </c>
      <c r="H886" s="52">
        <v>1</v>
      </c>
    </row>
    <row r="887" spans="1:8" ht="14.4" x14ac:dyDescent="0.3">
      <c r="A887" s="50">
        <v>3122</v>
      </c>
      <c r="B887" s="51">
        <v>20009001107</v>
      </c>
      <c r="C887" s="52" t="s">
        <v>2037</v>
      </c>
      <c r="D887" s="52" t="s">
        <v>1344</v>
      </c>
      <c r="E887" s="52" t="s">
        <v>1988</v>
      </c>
      <c r="F887" s="52" t="s">
        <v>1441</v>
      </c>
      <c r="G887" s="52" t="s">
        <v>213</v>
      </c>
      <c r="H887" s="52">
        <v>1</v>
      </c>
    </row>
    <row r="888" spans="1:8" ht="14.4" x14ac:dyDescent="0.3">
      <c r="A888" s="50">
        <v>3124</v>
      </c>
      <c r="B888" s="51">
        <v>20001051034</v>
      </c>
      <c r="C888" s="52" t="s">
        <v>661</v>
      </c>
      <c r="D888" s="52" t="s">
        <v>1159</v>
      </c>
      <c r="E888" s="52" t="s">
        <v>1326</v>
      </c>
      <c r="F888" s="52" t="s">
        <v>1327</v>
      </c>
      <c r="G888" s="52" t="s">
        <v>213</v>
      </c>
      <c r="H888" s="52">
        <v>1</v>
      </c>
    </row>
    <row r="889" spans="1:8" ht="14.4" x14ac:dyDescent="0.3">
      <c r="A889" s="50">
        <v>3127</v>
      </c>
      <c r="B889" s="51">
        <v>20001051054</v>
      </c>
      <c r="C889" s="52" t="s">
        <v>1415</v>
      </c>
      <c r="D889" s="52" t="s">
        <v>739</v>
      </c>
      <c r="E889" s="52" t="s">
        <v>1414</v>
      </c>
      <c r="F889" s="52" t="s">
        <v>656</v>
      </c>
      <c r="G889" s="52" t="s">
        <v>213</v>
      </c>
      <c r="H889" s="52">
        <v>1</v>
      </c>
    </row>
    <row r="890" spans="1:8" ht="14.4" x14ac:dyDescent="0.3">
      <c r="A890" s="50">
        <v>3128</v>
      </c>
      <c r="B890" s="51">
        <v>20009001104</v>
      </c>
      <c r="C890" s="52" t="s">
        <v>2010</v>
      </c>
      <c r="D890" s="52" t="s">
        <v>2011</v>
      </c>
      <c r="E890" s="52" t="s">
        <v>1988</v>
      </c>
      <c r="F890" s="52" t="s">
        <v>775</v>
      </c>
      <c r="G890" s="52" t="s">
        <v>213</v>
      </c>
      <c r="H890" s="52">
        <v>1</v>
      </c>
    </row>
    <row r="891" spans="1:8" ht="14.4" x14ac:dyDescent="0.3">
      <c r="A891" s="50">
        <v>3132</v>
      </c>
      <c r="B891" s="51">
        <v>20001051034</v>
      </c>
      <c r="C891" s="52" t="s">
        <v>1328</v>
      </c>
      <c r="D891" s="52" t="s">
        <v>772</v>
      </c>
      <c r="E891" s="52" t="s">
        <v>1326</v>
      </c>
      <c r="F891" s="52" t="s">
        <v>1327</v>
      </c>
      <c r="G891" s="52" t="s">
        <v>213</v>
      </c>
      <c r="H891" s="52">
        <v>1</v>
      </c>
    </row>
    <row r="892" spans="1:8" ht="14.4" x14ac:dyDescent="0.3">
      <c r="A892" s="50">
        <v>3133</v>
      </c>
      <c r="B892" s="51">
        <v>20009001101</v>
      </c>
      <c r="C892" s="52" t="s">
        <v>1481</v>
      </c>
      <c r="D892" s="52" t="s">
        <v>844</v>
      </c>
      <c r="E892" s="52" t="s">
        <v>1967</v>
      </c>
      <c r="F892" s="52" t="s">
        <v>1327</v>
      </c>
      <c r="G892" s="52" t="s">
        <v>213</v>
      </c>
      <c r="H892" s="52">
        <v>1</v>
      </c>
    </row>
    <row r="893" spans="1:8" ht="14.4" x14ac:dyDescent="0.3">
      <c r="A893" s="50">
        <v>3134</v>
      </c>
      <c r="B893" s="51">
        <v>20009001101</v>
      </c>
      <c r="C893" s="52" t="s">
        <v>1971</v>
      </c>
      <c r="D893" s="52" t="s">
        <v>1703</v>
      </c>
      <c r="E893" s="52" t="s">
        <v>1970</v>
      </c>
      <c r="F893" s="52" t="s">
        <v>1327</v>
      </c>
      <c r="G893" s="52" t="s">
        <v>213</v>
      </c>
      <c r="H893" s="52">
        <v>1</v>
      </c>
    </row>
    <row r="894" spans="1:8" ht="14.4" x14ac:dyDescent="0.3">
      <c r="A894" s="50">
        <v>3135</v>
      </c>
      <c r="B894" s="51">
        <v>20009001101</v>
      </c>
      <c r="C894" s="52" t="s">
        <v>1972</v>
      </c>
      <c r="D894" s="52" t="s">
        <v>1800</v>
      </c>
      <c r="E894" s="52" t="s">
        <v>3451</v>
      </c>
      <c r="F894" s="52" t="s">
        <v>1327</v>
      </c>
      <c r="G894" s="52" t="s">
        <v>244</v>
      </c>
      <c r="H894" s="52">
        <v>1</v>
      </c>
    </row>
    <row r="895" spans="1:8" ht="14.4" x14ac:dyDescent="0.3">
      <c r="A895" s="50">
        <v>3137</v>
      </c>
      <c r="B895" s="51">
        <v>20001051034</v>
      </c>
      <c r="C895" s="52" t="s">
        <v>1334</v>
      </c>
      <c r="D895" s="52" t="s">
        <v>1335</v>
      </c>
      <c r="E895" s="52" t="s">
        <v>1326</v>
      </c>
      <c r="F895" s="52" t="s">
        <v>1327</v>
      </c>
      <c r="G895" s="52" t="s">
        <v>213</v>
      </c>
      <c r="H895" s="52">
        <v>1</v>
      </c>
    </row>
    <row r="896" spans="1:8" ht="14.4" x14ac:dyDescent="0.3">
      <c r="A896" s="50">
        <v>3138</v>
      </c>
      <c r="B896" s="51">
        <v>20009001104</v>
      </c>
      <c r="C896" s="52" t="s">
        <v>2441</v>
      </c>
      <c r="D896" s="52" t="s">
        <v>2773</v>
      </c>
      <c r="E896" s="52" t="s">
        <v>1993</v>
      </c>
      <c r="F896" s="52" t="s">
        <v>775</v>
      </c>
      <c r="G896" s="52" t="s">
        <v>244</v>
      </c>
      <c r="H896" s="52">
        <v>1</v>
      </c>
    </row>
    <row r="897" spans="1:8" ht="14.4" x14ac:dyDescent="0.3">
      <c r="A897" s="50">
        <v>3139</v>
      </c>
      <c r="B897" s="51">
        <v>20001051046</v>
      </c>
      <c r="C897" s="52" t="s">
        <v>1391</v>
      </c>
      <c r="D897" s="52" t="s">
        <v>1392</v>
      </c>
      <c r="E897" s="52" t="s">
        <v>1393</v>
      </c>
      <c r="F897" s="52" t="s">
        <v>775</v>
      </c>
      <c r="G897" s="52" t="s">
        <v>244</v>
      </c>
      <c r="H897" s="52">
        <v>1</v>
      </c>
    </row>
    <row r="898" spans="1:8" ht="14.4" x14ac:dyDescent="0.3">
      <c r="A898" s="50">
        <v>3141</v>
      </c>
      <c r="B898" s="51">
        <v>20009001103</v>
      </c>
      <c r="C898" s="52" t="s">
        <v>849</v>
      </c>
      <c r="D898" s="52" t="s">
        <v>715</v>
      </c>
      <c r="E898" s="52" t="s">
        <v>1970</v>
      </c>
      <c r="F898" s="52" t="s">
        <v>1056</v>
      </c>
      <c r="G898" s="52" t="s">
        <v>213</v>
      </c>
      <c r="H898" s="52">
        <v>1</v>
      </c>
    </row>
    <row r="899" spans="1:8" ht="14.4" x14ac:dyDescent="0.3">
      <c r="A899" s="50">
        <v>3142</v>
      </c>
      <c r="B899" s="51">
        <v>20001101045</v>
      </c>
      <c r="C899" s="52" t="s">
        <v>1375</v>
      </c>
      <c r="D899" s="52" t="s">
        <v>1376</v>
      </c>
      <c r="E899" s="52" t="s">
        <v>1377</v>
      </c>
      <c r="F899" s="52" t="s">
        <v>1056</v>
      </c>
      <c r="G899" s="52" t="s">
        <v>213</v>
      </c>
      <c r="H899" s="52">
        <v>1</v>
      </c>
    </row>
    <row r="900" spans="1:8" ht="14.4" x14ac:dyDescent="0.3">
      <c r="A900" s="50">
        <v>3143</v>
      </c>
      <c r="B900" s="51">
        <v>20001051042</v>
      </c>
      <c r="C900" s="52" t="s">
        <v>1370</v>
      </c>
      <c r="D900" s="52" t="s">
        <v>1055</v>
      </c>
      <c r="E900" s="52" t="s">
        <v>1326</v>
      </c>
      <c r="F900" s="52" t="s">
        <v>1056</v>
      </c>
      <c r="G900" s="52" t="s">
        <v>213</v>
      </c>
      <c r="H900" s="52">
        <v>1</v>
      </c>
    </row>
    <row r="901" spans="1:8" ht="14.4" x14ac:dyDescent="0.3">
      <c r="A901" s="50">
        <v>3144</v>
      </c>
      <c r="B901" s="51">
        <v>20009001103</v>
      </c>
      <c r="C901" s="52" t="s">
        <v>1996</v>
      </c>
      <c r="D901" s="52" t="s">
        <v>850</v>
      </c>
      <c r="E901" s="52" t="s">
        <v>1970</v>
      </c>
      <c r="F901" s="52" t="s">
        <v>1056</v>
      </c>
      <c r="G901" s="52" t="s">
        <v>213</v>
      </c>
      <c r="H901" s="52">
        <v>0.5</v>
      </c>
    </row>
    <row r="902" spans="1:8" ht="14.4" x14ac:dyDescent="0.3">
      <c r="A902" s="50">
        <v>3145</v>
      </c>
      <c r="B902" s="51">
        <v>20009001103</v>
      </c>
      <c r="C902" s="52" t="s">
        <v>1994</v>
      </c>
      <c r="D902" s="52" t="s">
        <v>1995</v>
      </c>
      <c r="E902" s="52" t="s">
        <v>3452</v>
      </c>
      <c r="F902" s="52" t="s">
        <v>1056</v>
      </c>
      <c r="G902" s="52" t="s">
        <v>244</v>
      </c>
      <c r="H902" s="52">
        <v>1</v>
      </c>
    </row>
    <row r="903" spans="1:8" ht="14.4" x14ac:dyDescent="0.3">
      <c r="A903" s="50">
        <v>3146</v>
      </c>
      <c r="B903" s="51">
        <v>20009001103</v>
      </c>
      <c r="C903" s="52" t="s">
        <v>1997</v>
      </c>
      <c r="D903" s="52" t="s">
        <v>1476</v>
      </c>
      <c r="E903" s="52" t="s">
        <v>1970</v>
      </c>
      <c r="F903" s="52" t="s">
        <v>1056</v>
      </c>
      <c r="G903" s="52" t="s">
        <v>213</v>
      </c>
      <c r="H903" s="52">
        <v>1</v>
      </c>
    </row>
    <row r="904" spans="1:8" ht="14.4" x14ac:dyDescent="0.3">
      <c r="A904" s="50">
        <v>3152</v>
      </c>
      <c r="B904" s="51">
        <v>20009001102</v>
      </c>
      <c r="C904" s="52" t="s">
        <v>1672</v>
      </c>
      <c r="D904" s="52" t="s">
        <v>1974</v>
      </c>
      <c r="E904" s="52" t="s">
        <v>1970</v>
      </c>
      <c r="F904" s="52" t="s">
        <v>656</v>
      </c>
      <c r="G904" s="52" t="s">
        <v>244</v>
      </c>
      <c r="H904" s="52">
        <v>1</v>
      </c>
    </row>
    <row r="905" spans="1:8" ht="14.4" x14ac:dyDescent="0.3">
      <c r="A905" s="50">
        <v>3153</v>
      </c>
      <c r="B905" s="51">
        <v>20022001101</v>
      </c>
      <c r="C905" s="52" t="s">
        <v>2294</v>
      </c>
      <c r="D905" s="52" t="s">
        <v>1078</v>
      </c>
      <c r="E905" s="52" t="s">
        <v>2100</v>
      </c>
      <c r="F905" s="52" t="s">
        <v>656</v>
      </c>
      <c r="G905" s="52" t="s">
        <v>213</v>
      </c>
      <c r="H905" s="52">
        <v>1</v>
      </c>
    </row>
    <row r="906" spans="1:8" ht="14.4" x14ac:dyDescent="0.3">
      <c r="A906" s="50">
        <v>3154</v>
      </c>
      <c r="B906" s="51">
        <v>20009001105</v>
      </c>
      <c r="C906" s="52" t="s">
        <v>2023</v>
      </c>
      <c r="D906" s="52" t="s">
        <v>1431</v>
      </c>
      <c r="E906" s="52" t="s">
        <v>1970</v>
      </c>
      <c r="F906" s="52" t="s">
        <v>1410</v>
      </c>
      <c r="G906" s="52" t="s">
        <v>213</v>
      </c>
      <c r="H906" s="52">
        <v>1</v>
      </c>
    </row>
    <row r="907" spans="1:8" ht="14.4" x14ac:dyDescent="0.3">
      <c r="A907" s="50">
        <v>3155</v>
      </c>
      <c r="B907" s="51">
        <v>20009001104</v>
      </c>
      <c r="C907" s="52" t="s">
        <v>1422</v>
      </c>
      <c r="D907" s="52" t="s">
        <v>2016</v>
      </c>
      <c r="E907" s="52" t="s">
        <v>3453</v>
      </c>
      <c r="F907" s="52" t="s">
        <v>775</v>
      </c>
      <c r="G907" s="52" t="s">
        <v>244</v>
      </c>
      <c r="H907" s="52">
        <v>1</v>
      </c>
    </row>
    <row r="908" spans="1:8" ht="14.4" x14ac:dyDescent="0.3">
      <c r="A908" s="50">
        <v>3156</v>
      </c>
      <c r="B908" s="51">
        <v>20001051046</v>
      </c>
      <c r="C908" s="52" t="s">
        <v>1383</v>
      </c>
      <c r="D908" s="52" t="s">
        <v>1384</v>
      </c>
      <c r="E908" s="52" t="s">
        <v>1385</v>
      </c>
      <c r="F908" s="52" t="s">
        <v>775</v>
      </c>
      <c r="G908" s="52" t="s">
        <v>213</v>
      </c>
      <c r="H908" s="52">
        <v>1</v>
      </c>
    </row>
    <row r="909" spans="1:8" ht="14.4" x14ac:dyDescent="0.3">
      <c r="A909" s="50">
        <v>3157</v>
      </c>
      <c r="B909" s="51">
        <v>20001051054</v>
      </c>
      <c r="C909" s="52" t="s">
        <v>1059</v>
      </c>
      <c r="D909" s="52" t="s">
        <v>887</v>
      </c>
      <c r="E909" s="52" t="s">
        <v>1414</v>
      </c>
      <c r="F909" s="52" t="s">
        <v>656</v>
      </c>
      <c r="G909" s="52" t="s">
        <v>213</v>
      </c>
      <c r="H909" s="52">
        <v>1</v>
      </c>
    </row>
    <row r="910" spans="1:8" ht="14.4" x14ac:dyDescent="0.3">
      <c r="A910" s="50">
        <v>3158</v>
      </c>
      <c r="B910" s="51">
        <v>20001051046</v>
      </c>
      <c r="C910" s="52" t="s">
        <v>1407</v>
      </c>
      <c r="D910" s="52" t="s">
        <v>1408</v>
      </c>
      <c r="E910" s="52" t="s">
        <v>1326</v>
      </c>
      <c r="F910" s="52" t="s">
        <v>775</v>
      </c>
      <c r="G910" s="52" t="s">
        <v>213</v>
      </c>
      <c r="H910" s="52">
        <v>1</v>
      </c>
    </row>
    <row r="911" spans="1:8" ht="14.4" x14ac:dyDescent="0.3">
      <c r="A911" s="50">
        <v>3159</v>
      </c>
      <c r="B911" s="51">
        <v>20001052061</v>
      </c>
      <c r="C911" s="52" t="s">
        <v>1451</v>
      </c>
      <c r="D911" s="52" t="s">
        <v>675</v>
      </c>
      <c r="E911" s="52" t="s">
        <v>3416</v>
      </c>
      <c r="F911" s="52" t="s">
        <v>1441</v>
      </c>
      <c r="G911" s="52" t="s">
        <v>244</v>
      </c>
      <c r="H911" s="52">
        <v>1</v>
      </c>
    </row>
    <row r="912" spans="1:8" ht="14.4" x14ac:dyDescent="0.3">
      <c r="A912" s="50">
        <v>3160</v>
      </c>
      <c r="B912" s="51">
        <v>20009001104</v>
      </c>
      <c r="C912" s="52" t="s">
        <v>2012</v>
      </c>
      <c r="D912" s="52" t="s">
        <v>2013</v>
      </c>
      <c r="E912" s="52" t="s">
        <v>1970</v>
      </c>
      <c r="F912" s="52" t="s">
        <v>775</v>
      </c>
      <c r="G912" s="52" t="s">
        <v>244</v>
      </c>
      <c r="H912" s="52">
        <v>1</v>
      </c>
    </row>
    <row r="913" spans="1:8" ht="14.4" x14ac:dyDescent="0.3">
      <c r="A913" s="50">
        <v>3161</v>
      </c>
      <c r="B913" s="51">
        <v>20001051038</v>
      </c>
      <c r="C913" s="52" t="s">
        <v>1353</v>
      </c>
      <c r="D913" s="52" t="s">
        <v>1354</v>
      </c>
      <c r="E913" s="52" t="s">
        <v>1326</v>
      </c>
      <c r="F913" s="52" t="s">
        <v>656</v>
      </c>
      <c r="G913" s="52" t="s">
        <v>244</v>
      </c>
      <c r="H913" s="52">
        <v>1</v>
      </c>
    </row>
    <row r="914" spans="1:8" ht="14.4" x14ac:dyDescent="0.3">
      <c r="A914" s="50">
        <v>3162</v>
      </c>
      <c r="B914" s="51">
        <v>20001051042</v>
      </c>
      <c r="C914" s="52" t="s">
        <v>1378</v>
      </c>
      <c r="D914" s="52" t="s">
        <v>1084</v>
      </c>
      <c r="E914" s="52" t="s">
        <v>1326</v>
      </c>
      <c r="F914" s="52" t="s">
        <v>1056</v>
      </c>
      <c r="G914" s="52" t="s">
        <v>213</v>
      </c>
      <c r="H914" s="52">
        <v>1</v>
      </c>
    </row>
    <row r="915" spans="1:8" ht="14.4" x14ac:dyDescent="0.3">
      <c r="A915" s="50">
        <v>3163</v>
      </c>
      <c r="B915" s="51">
        <v>20009001101</v>
      </c>
      <c r="C915" s="52" t="s">
        <v>1973</v>
      </c>
      <c r="D915" s="52" t="s">
        <v>1396</v>
      </c>
      <c r="E915" s="52" t="s">
        <v>1970</v>
      </c>
      <c r="F915" s="52" t="s">
        <v>1327</v>
      </c>
      <c r="G915" s="52" t="s">
        <v>244</v>
      </c>
      <c r="H915" s="52">
        <v>1</v>
      </c>
    </row>
    <row r="916" spans="1:8" ht="14.4" x14ac:dyDescent="0.3">
      <c r="A916" s="50">
        <v>3164</v>
      </c>
      <c r="B916" s="51">
        <v>20009001104</v>
      </c>
      <c r="C916" s="52" t="s">
        <v>1999</v>
      </c>
      <c r="D916" s="52" t="s">
        <v>897</v>
      </c>
      <c r="E916" s="52" t="s">
        <v>1970</v>
      </c>
      <c r="F916" s="52" t="s">
        <v>775</v>
      </c>
      <c r="G916" s="52" t="s">
        <v>244</v>
      </c>
      <c r="H916" s="52">
        <v>1</v>
      </c>
    </row>
    <row r="917" spans="1:8" ht="14.4" x14ac:dyDescent="0.3">
      <c r="A917" s="50">
        <v>3165</v>
      </c>
      <c r="B917" s="51">
        <v>20009001103</v>
      </c>
      <c r="C917" s="52" t="s">
        <v>1989</v>
      </c>
      <c r="D917" s="52" t="s">
        <v>1990</v>
      </c>
      <c r="E917" s="52" t="s">
        <v>1970</v>
      </c>
      <c r="F917" s="52" t="s">
        <v>1056</v>
      </c>
      <c r="G917" s="52" t="s">
        <v>244</v>
      </c>
      <c r="H917" s="52">
        <v>1</v>
      </c>
    </row>
    <row r="918" spans="1:8" ht="14.4" x14ac:dyDescent="0.3">
      <c r="A918" s="50">
        <v>3166</v>
      </c>
      <c r="B918" s="51">
        <v>20009001101</v>
      </c>
      <c r="C918" s="52" t="s">
        <v>1969</v>
      </c>
      <c r="D918" s="52" t="s">
        <v>785</v>
      </c>
      <c r="E918" s="52" t="s">
        <v>1970</v>
      </c>
      <c r="F918" s="52" t="s">
        <v>1327</v>
      </c>
      <c r="G918" s="52" t="s">
        <v>213</v>
      </c>
      <c r="H918" s="52">
        <v>1</v>
      </c>
    </row>
    <row r="919" spans="1:8" ht="14.4" x14ac:dyDescent="0.3">
      <c r="A919" s="50">
        <v>3167</v>
      </c>
      <c r="B919" s="51">
        <v>20009001102</v>
      </c>
      <c r="C919" s="52" t="s">
        <v>1982</v>
      </c>
      <c r="D919" s="52" t="s">
        <v>1983</v>
      </c>
      <c r="E919" s="52" t="s">
        <v>1970</v>
      </c>
      <c r="F919" s="52" t="s">
        <v>656</v>
      </c>
      <c r="G919" s="52" t="s">
        <v>244</v>
      </c>
      <c r="H919" s="52">
        <v>1</v>
      </c>
    </row>
    <row r="920" spans="1:8" ht="14.4" x14ac:dyDescent="0.3">
      <c r="A920" s="50">
        <v>3168</v>
      </c>
      <c r="B920" s="51">
        <v>20009001104</v>
      </c>
      <c r="C920" s="52" t="s">
        <v>2003</v>
      </c>
      <c r="D920" s="52" t="s">
        <v>739</v>
      </c>
      <c r="E920" s="52" t="s">
        <v>1970</v>
      </c>
      <c r="F920" s="52" t="s">
        <v>775</v>
      </c>
      <c r="G920" s="52" t="s">
        <v>244</v>
      </c>
      <c r="H920" s="52">
        <v>1</v>
      </c>
    </row>
    <row r="921" spans="1:8" ht="14.4" x14ac:dyDescent="0.3">
      <c r="A921" s="50">
        <v>3169</v>
      </c>
      <c r="B921" s="51">
        <v>20009001105</v>
      </c>
      <c r="C921" s="52" t="s">
        <v>2018</v>
      </c>
      <c r="D921" s="52" t="s">
        <v>1231</v>
      </c>
      <c r="E921" s="52" t="s">
        <v>3454</v>
      </c>
      <c r="F921" s="52" t="s">
        <v>1410</v>
      </c>
      <c r="G921" s="52" t="s">
        <v>244</v>
      </c>
      <c r="H921" s="52">
        <v>1</v>
      </c>
    </row>
    <row r="922" spans="1:8" ht="14.4" x14ac:dyDescent="0.3">
      <c r="A922" s="50">
        <v>3170</v>
      </c>
      <c r="B922" s="51">
        <v>20021052104</v>
      </c>
      <c r="C922" s="52" t="s">
        <v>2290</v>
      </c>
      <c r="D922" s="52" t="s">
        <v>1257</v>
      </c>
      <c r="E922" s="52" t="s">
        <v>2289</v>
      </c>
      <c r="F922" s="52" t="s">
        <v>775</v>
      </c>
      <c r="G922" s="52" t="s">
        <v>244</v>
      </c>
      <c r="H922" s="52">
        <v>1</v>
      </c>
    </row>
    <row r="923" spans="1:8" ht="14.4" x14ac:dyDescent="0.3">
      <c r="A923" s="50">
        <v>3171</v>
      </c>
      <c r="B923" s="51">
        <v>20009001102</v>
      </c>
      <c r="C923" s="52" t="s">
        <v>1979</v>
      </c>
      <c r="D923" s="52" t="s">
        <v>1980</v>
      </c>
      <c r="E923" s="52" t="s">
        <v>1970</v>
      </c>
      <c r="F923" s="52" t="s">
        <v>656</v>
      </c>
      <c r="G923" s="52" t="s">
        <v>244</v>
      </c>
      <c r="H923" s="52">
        <v>1</v>
      </c>
    </row>
    <row r="924" spans="1:8" ht="14.4" x14ac:dyDescent="0.3">
      <c r="A924" s="50">
        <v>3173</v>
      </c>
      <c r="B924" s="51">
        <v>20001051038</v>
      </c>
      <c r="C924" s="52" t="s">
        <v>1348</v>
      </c>
      <c r="D924" s="52" t="s">
        <v>1349</v>
      </c>
      <c r="E924" s="52" t="s">
        <v>1326</v>
      </c>
      <c r="F924" s="52" t="s">
        <v>656</v>
      </c>
      <c r="G924" s="52" t="s">
        <v>244</v>
      </c>
      <c r="H924" s="52">
        <v>1</v>
      </c>
    </row>
    <row r="925" spans="1:8" ht="14.4" x14ac:dyDescent="0.3">
      <c r="A925" s="50">
        <v>3174</v>
      </c>
      <c r="B925" s="51">
        <v>20009001105</v>
      </c>
      <c r="C925" s="52" t="s">
        <v>1978</v>
      </c>
      <c r="D925" s="52" t="s">
        <v>785</v>
      </c>
      <c r="E925" s="52" t="s">
        <v>1970</v>
      </c>
      <c r="F925" s="52" t="s">
        <v>1410</v>
      </c>
      <c r="G925" s="52" t="s">
        <v>244</v>
      </c>
      <c r="H925" s="52">
        <v>1</v>
      </c>
    </row>
    <row r="926" spans="1:8" ht="14.4" x14ac:dyDescent="0.3">
      <c r="A926" s="50">
        <v>3175</v>
      </c>
      <c r="B926" s="51">
        <v>20009001104</v>
      </c>
      <c r="C926" s="52" t="s">
        <v>1256</v>
      </c>
      <c r="D926" s="52" t="s">
        <v>2004</v>
      </c>
      <c r="E926" s="52" t="s">
        <v>3455</v>
      </c>
      <c r="F926" s="52" t="s">
        <v>775</v>
      </c>
      <c r="G926" s="52" t="s">
        <v>213</v>
      </c>
      <c r="H926" s="52">
        <v>1</v>
      </c>
    </row>
    <row r="927" spans="1:8" ht="14.4" x14ac:dyDescent="0.3">
      <c r="A927" s="50">
        <v>3176</v>
      </c>
      <c r="B927" s="51">
        <v>20001051046</v>
      </c>
      <c r="C927" s="52" t="s">
        <v>1386</v>
      </c>
      <c r="D927" s="52" t="s">
        <v>1387</v>
      </c>
      <c r="E927" s="52" t="s">
        <v>3449</v>
      </c>
      <c r="F927" s="52" t="s">
        <v>775</v>
      </c>
      <c r="G927" s="52" t="s">
        <v>244</v>
      </c>
      <c r="H927" s="52">
        <v>1</v>
      </c>
    </row>
    <row r="928" spans="1:8" ht="14.4" x14ac:dyDescent="0.3">
      <c r="A928" s="50">
        <v>3177</v>
      </c>
      <c r="B928" s="51">
        <v>20001051046</v>
      </c>
      <c r="C928" s="52" t="s">
        <v>1398</v>
      </c>
      <c r="D928" s="52" t="s">
        <v>1399</v>
      </c>
      <c r="E928" s="52" t="s">
        <v>3449</v>
      </c>
      <c r="F928" s="52" t="s">
        <v>775</v>
      </c>
      <c r="G928" s="52" t="s">
        <v>244</v>
      </c>
      <c r="H928" s="52">
        <v>1</v>
      </c>
    </row>
    <row r="929" spans="1:8" ht="14.4" x14ac:dyDescent="0.3">
      <c r="A929" s="50">
        <v>3178</v>
      </c>
      <c r="B929" s="51">
        <v>20001051042</v>
      </c>
      <c r="C929" s="52" t="s">
        <v>1365</v>
      </c>
      <c r="D929" s="52" t="s">
        <v>1366</v>
      </c>
      <c r="E929" s="52" t="s">
        <v>3456</v>
      </c>
      <c r="F929" s="52" t="s">
        <v>1056</v>
      </c>
      <c r="G929" s="52" t="s">
        <v>244</v>
      </c>
      <c r="H929" s="52">
        <v>1</v>
      </c>
    </row>
    <row r="930" spans="1:8" ht="14.4" x14ac:dyDescent="0.3">
      <c r="A930" s="50">
        <v>3179</v>
      </c>
      <c r="B930" s="51">
        <v>20019110095</v>
      </c>
      <c r="C930" s="52" t="s">
        <v>2186</v>
      </c>
      <c r="D930" s="52" t="s">
        <v>2119</v>
      </c>
      <c r="E930" s="52" t="s">
        <v>2185</v>
      </c>
      <c r="F930" s="52" t="s">
        <v>1056</v>
      </c>
      <c r="G930" s="52" t="s">
        <v>244</v>
      </c>
      <c r="H930" s="52">
        <v>1</v>
      </c>
    </row>
    <row r="931" spans="1:8" ht="14.4" x14ac:dyDescent="0.3">
      <c r="A931" s="50">
        <v>3180</v>
      </c>
      <c r="B931" s="51">
        <v>20001051042</v>
      </c>
      <c r="C931" s="52" t="s">
        <v>2441</v>
      </c>
      <c r="D931" s="52" t="s">
        <v>3657</v>
      </c>
      <c r="E931" s="52" t="s">
        <v>1326</v>
      </c>
      <c r="F931" s="52" t="s">
        <v>1056</v>
      </c>
      <c r="G931" s="52" t="s">
        <v>244</v>
      </c>
      <c r="H931" s="52">
        <v>1</v>
      </c>
    </row>
    <row r="932" spans="1:8" ht="14.4" x14ac:dyDescent="0.3">
      <c r="A932" s="50">
        <v>3181</v>
      </c>
      <c r="B932" s="51">
        <v>20009001103</v>
      </c>
      <c r="C932" s="52" t="s">
        <v>1992</v>
      </c>
      <c r="D932" s="52" t="s">
        <v>715</v>
      </c>
      <c r="E932" s="52" t="s">
        <v>1993</v>
      </c>
      <c r="F932" s="52" t="s">
        <v>1056</v>
      </c>
      <c r="G932" s="52" t="s">
        <v>213</v>
      </c>
      <c r="H932" s="52">
        <v>1</v>
      </c>
    </row>
    <row r="933" spans="1:8" ht="14.4" x14ac:dyDescent="0.3">
      <c r="A933" s="50">
        <v>3182</v>
      </c>
      <c r="B933" s="51">
        <v>20009001103</v>
      </c>
      <c r="C933" s="52" t="s">
        <v>1991</v>
      </c>
      <c r="D933" s="52" t="s">
        <v>964</v>
      </c>
      <c r="E933" s="52" t="s">
        <v>1970</v>
      </c>
      <c r="F933" s="52" t="s">
        <v>1056</v>
      </c>
      <c r="G933" s="52" t="s">
        <v>213</v>
      </c>
      <c r="H933" s="52">
        <v>1</v>
      </c>
    </row>
    <row r="934" spans="1:8" ht="14.4" x14ac:dyDescent="0.3">
      <c r="A934" s="50">
        <v>3183</v>
      </c>
      <c r="B934" s="51">
        <v>20020051047</v>
      </c>
      <c r="C934" s="52" t="s">
        <v>2212</v>
      </c>
      <c r="D934" s="52" t="s">
        <v>1282</v>
      </c>
      <c r="E934" s="52" t="s">
        <v>2209</v>
      </c>
      <c r="F934" s="52" t="s">
        <v>775</v>
      </c>
      <c r="G934" s="52" t="s">
        <v>213</v>
      </c>
      <c r="H934" s="52">
        <v>1</v>
      </c>
    </row>
    <row r="935" spans="1:8" ht="14.4" x14ac:dyDescent="0.3">
      <c r="A935" s="50">
        <v>3184</v>
      </c>
      <c r="B935" s="51">
        <v>20009001104</v>
      </c>
      <c r="C935" s="52" t="s">
        <v>2006</v>
      </c>
      <c r="D935" s="52" t="s">
        <v>1433</v>
      </c>
      <c r="E935" s="52" t="s">
        <v>3457</v>
      </c>
      <c r="F935" s="52" t="s">
        <v>775</v>
      </c>
      <c r="G935" s="52" t="s">
        <v>244</v>
      </c>
      <c r="H935" s="52">
        <v>1</v>
      </c>
    </row>
    <row r="936" spans="1:8" ht="14.4" x14ac:dyDescent="0.3">
      <c r="A936" s="50">
        <v>3185</v>
      </c>
      <c r="B936" s="51">
        <v>20001051054</v>
      </c>
      <c r="C936" s="52" t="s">
        <v>1417</v>
      </c>
      <c r="D936" s="52" t="s">
        <v>1418</v>
      </c>
      <c r="E936" s="52" t="s">
        <v>1414</v>
      </c>
      <c r="F936" s="52" t="s">
        <v>656</v>
      </c>
      <c r="G936" s="52" t="s">
        <v>244</v>
      </c>
      <c r="H936" s="52">
        <v>1</v>
      </c>
    </row>
    <row r="937" spans="1:8" ht="14.4" x14ac:dyDescent="0.3">
      <c r="A937" s="50">
        <v>3186</v>
      </c>
      <c r="B937" s="51">
        <v>20001051046</v>
      </c>
      <c r="C937" s="52" t="s">
        <v>1395</v>
      </c>
      <c r="D937" s="52" t="s">
        <v>1396</v>
      </c>
      <c r="E937" s="52" t="s">
        <v>1326</v>
      </c>
      <c r="F937" s="52" t="s">
        <v>775</v>
      </c>
      <c r="G937" s="52" t="s">
        <v>213</v>
      </c>
      <c r="H937" s="52">
        <v>1</v>
      </c>
    </row>
    <row r="938" spans="1:8" ht="14.4" x14ac:dyDescent="0.3">
      <c r="A938" s="50">
        <v>3187</v>
      </c>
      <c r="B938" s="51">
        <v>20001051046</v>
      </c>
      <c r="C938" s="52" t="s">
        <v>1395</v>
      </c>
      <c r="D938" s="52" t="s">
        <v>1397</v>
      </c>
      <c r="E938" s="52" t="s">
        <v>1326</v>
      </c>
      <c r="F938" s="52" t="s">
        <v>775</v>
      </c>
      <c r="G938" s="52" t="s">
        <v>213</v>
      </c>
      <c r="H938" s="52">
        <v>1</v>
      </c>
    </row>
    <row r="939" spans="1:8" ht="14.4" x14ac:dyDescent="0.3">
      <c r="A939" s="50">
        <v>3188</v>
      </c>
      <c r="B939" s="51">
        <v>20001051042</v>
      </c>
      <c r="C939" s="52" t="s">
        <v>1374</v>
      </c>
      <c r="D939" s="52" t="s">
        <v>672</v>
      </c>
      <c r="E939" s="52" t="s">
        <v>1326</v>
      </c>
      <c r="F939" s="52" t="s">
        <v>1056</v>
      </c>
      <c r="G939" s="52" t="s">
        <v>213</v>
      </c>
      <c r="H939" s="52">
        <v>1</v>
      </c>
    </row>
    <row r="940" spans="1:8" ht="14.4" x14ac:dyDescent="0.3">
      <c r="A940" s="50">
        <v>3189</v>
      </c>
      <c r="B940" s="51">
        <v>20009001104</v>
      </c>
      <c r="C940" s="52" t="s">
        <v>2008</v>
      </c>
      <c r="D940" s="52" t="s">
        <v>672</v>
      </c>
      <c r="E940" s="52" t="s">
        <v>1993</v>
      </c>
      <c r="F940" s="52" t="s">
        <v>775</v>
      </c>
      <c r="G940" s="52" t="s">
        <v>213</v>
      </c>
      <c r="H940" s="52">
        <v>1</v>
      </c>
    </row>
    <row r="941" spans="1:8" ht="14.4" x14ac:dyDescent="0.3">
      <c r="A941" s="50">
        <v>3190</v>
      </c>
      <c r="B941" s="51">
        <v>20001051038</v>
      </c>
      <c r="C941" s="52" t="s">
        <v>1341</v>
      </c>
      <c r="D941" s="52" t="s">
        <v>1342</v>
      </c>
      <c r="E941" s="52" t="s">
        <v>1326</v>
      </c>
      <c r="F941" s="52" t="s">
        <v>656</v>
      </c>
      <c r="G941" s="52" t="s">
        <v>244</v>
      </c>
      <c r="H941" s="52">
        <v>1</v>
      </c>
    </row>
    <row r="942" spans="1:8" ht="14.4" x14ac:dyDescent="0.3">
      <c r="A942" s="50">
        <v>3191</v>
      </c>
      <c r="B942" s="51">
        <v>20001052057</v>
      </c>
      <c r="C942" s="52" t="s">
        <v>1438</v>
      </c>
      <c r="D942" s="52" t="s">
        <v>1234</v>
      </c>
      <c r="E942" s="52" t="s">
        <v>1326</v>
      </c>
      <c r="F942" s="52" t="s">
        <v>1428</v>
      </c>
      <c r="G942" s="52" t="s">
        <v>244</v>
      </c>
      <c r="H942" s="52">
        <v>1</v>
      </c>
    </row>
    <row r="943" spans="1:8" ht="14.4" x14ac:dyDescent="0.3">
      <c r="A943" s="50">
        <v>3192</v>
      </c>
      <c r="B943" s="51">
        <v>20009001106</v>
      </c>
      <c r="C943" s="52" t="s">
        <v>2029</v>
      </c>
      <c r="D943" s="52" t="s">
        <v>2030</v>
      </c>
      <c r="E943" s="52" t="s">
        <v>1970</v>
      </c>
      <c r="F943" s="52" t="s">
        <v>1428</v>
      </c>
      <c r="G943" s="52" t="s">
        <v>213</v>
      </c>
      <c r="H943" s="52">
        <v>1</v>
      </c>
    </row>
    <row r="944" spans="1:8" ht="14.4" x14ac:dyDescent="0.3">
      <c r="A944" s="50">
        <v>3193</v>
      </c>
      <c r="B944" s="51">
        <v>20009001103</v>
      </c>
      <c r="C944" s="52" t="s">
        <v>1998</v>
      </c>
      <c r="D944" s="52" t="s">
        <v>885</v>
      </c>
      <c r="E944" s="52" t="s">
        <v>1970</v>
      </c>
      <c r="F944" s="52" t="s">
        <v>1056</v>
      </c>
      <c r="G944" s="52" t="s">
        <v>213</v>
      </c>
      <c r="H944" s="52">
        <v>1</v>
      </c>
    </row>
    <row r="945" spans="1:8" ht="14.4" x14ac:dyDescent="0.3">
      <c r="A945" s="50">
        <v>3194</v>
      </c>
      <c r="B945" s="51">
        <v>20001051038</v>
      </c>
      <c r="C945" s="52" t="s">
        <v>947</v>
      </c>
      <c r="D945" s="52" t="s">
        <v>2411</v>
      </c>
      <c r="E945" s="52" t="s">
        <v>1326</v>
      </c>
      <c r="F945" s="52" t="s">
        <v>656</v>
      </c>
      <c r="G945" s="52" t="s">
        <v>213</v>
      </c>
      <c r="H945" s="52">
        <v>1</v>
      </c>
    </row>
    <row r="946" spans="1:8" ht="14.4" x14ac:dyDescent="0.3">
      <c r="A946" s="50">
        <v>3195</v>
      </c>
      <c r="B946" s="51">
        <v>20001051038</v>
      </c>
      <c r="C946" s="52" t="s">
        <v>2432</v>
      </c>
      <c r="D946" s="52" t="s">
        <v>1048</v>
      </c>
      <c r="E946" s="52" t="s">
        <v>1326</v>
      </c>
      <c r="F946" s="52" t="s">
        <v>656</v>
      </c>
      <c r="G946" s="52" t="s">
        <v>244</v>
      </c>
      <c r="H946" s="52">
        <v>1</v>
      </c>
    </row>
    <row r="947" spans="1:8" ht="14.4" x14ac:dyDescent="0.3">
      <c r="A947" s="50">
        <v>3196</v>
      </c>
      <c r="B947" s="51">
        <v>20009001104</v>
      </c>
      <c r="C947" s="52" t="s">
        <v>960</v>
      </c>
      <c r="D947" s="52" t="s">
        <v>2445</v>
      </c>
      <c r="E947" s="52" t="s">
        <v>1970</v>
      </c>
      <c r="F947" s="52" t="s">
        <v>775</v>
      </c>
      <c r="G947" s="52" t="s">
        <v>213</v>
      </c>
      <c r="H947" s="52">
        <v>1</v>
      </c>
    </row>
    <row r="948" spans="1:8" ht="14.4" x14ac:dyDescent="0.3">
      <c r="A948" s="50">
        <v>3197</v>
      </c>
      <c r="B948" s="51">
        <v>20000310012</v>
      </c>
      <c r="C948" s="52" t="s">
        <v>2446</v>
      </c>
      <c r="D948" s="52" t="s">
        <v>887</v>
      </c>
      <c r="E948" s="52" t="s">
        <v>663</v>
      </c>
      <c r="F948" s="52" t="s">
        <v>777</v>
      </c>
      <c r="G948" s="52" t="s">
        <v>244</v>
      </c>
      <c r="H948" s="52">
        <v>1</v>
      </c>
    </row>
    <row r="949" spans="1:8" ht="14.4" x14ac:dyDescent="0.3">
      <c r="A949" s="50">
        <v>3198</v>
      </c>
      <c r="B949" s="51">
        <v>20000330012</v>
      </c>
      <c r="C949" s="52" t="s">
        <v>2464</v>
      </c>
      <c r="D949" s="52" t="s">
        <v>868</v>
      </c>
      <c r="E949" s="52" t="s">
        <v>663</v>
      </c>
      <c r="F949" s="52" t="s">
        <v>777</v>
      </c>
      <c r="G949" s="52" t="s">
        <v>244</v>
      </c>
      <c r="H949" s="52">
        <v>1</v>
      </c>
    </row>
    <row r="950" spans="1:8" ht="14.4" x14ac:dyDescent="0.3">
      <c r="A950" s="50">
        <v>3199</v>
      </c>
      <c r="B950" s="51">
        <v>20000310012</v>
      </c>
      <c r="C950" s="52" t="s">
        <v>2462</v>
      </c>
      <c r="D950" s="52" t="s">
        <v>2463</v>
      </c>
      <c r="E950" s="52" t="s">
        <v>2929</v>
      </c>
      <c r="F950" s="52" t="s">
        <v>777</v>
      </c>
      <c r="G950" s="52" t="s">
        <v>213</v>
      </c>
      <c r="H950" s="52">
        <v>0.5</v>
      </c>
    </row>
    <row r="951" spans="1:8" ht="14.4" x14ac:dyDescent="0.3">
      <c r="A951" s="50">
        <v>3200</v>
      </c>
      <c r="B951" s="51">
        <v>20021052104</v>
      </c>
      <c r="C951" s="52" t="s">
        <v>901</v>
      </c>
      <c r="D951" s="52" t="s">
        <v>1279</v>
      </c>
      <c r="E951" s="52" t="s">
        <v>2289</v>
      </c>
      <c r="F951" s="52" t="s">
        <v>775</v>
      </c>
      <c r="G951" s="52" t="s">
        <v>244</v>
      </c>
      <c r="H951" s="52">
        <v>1</v>
      </c>
    </row>
    <row r="952" spans="1:8" ht="14.4" x14ac:dyDescent="0.3">
      <c r="A952" s="50">
        <v>3201</v>
      </c>
      <c r="B952" s="51">
        <v>20001101056</v>
      </c>
      <c r="C952" s="52" t="s">
        <v>2488</v>
      </c>
      <c r="D952" s="52" t="s">
        <v>2489</v>
      </c>
      <c r="E952" s="52" t="s">
        <v>3707</v>
      </c>
      <c r="F952" s="52" t="s">
        <v>656</v>
      </c>
      <c r="G952" s="52" t="s">
        <v>213</v>
      </c>
      <c r="H952" s="52">
        <v>1</v>
      </c>
    </row>
    <row r="953" spans="1:8" ht="14.4" x14ac:dyDescent="0.3">
      <c r="A953" s="50">
        <v>3202</v>
      </c>
      <c r="B953" s="51">
        <v>20009001105</v>
      </c>
      <c r="C953" s="52" t="s">
        <v>2492</v>
      </c>
      <c r="D953" s="52" t="s">
        <v>2493</v>
      </c>
      <c r="E953" s="52" t="s">
        <v>1970</v>
      </c>
      <c r="F953" s="52" t="s">
        <v>1410</v>
      </c>
      <c r="G953" s="52" t="s">
        <v>244</v>
      </c>
      <c r="H953" s="52">
        <v>1</v>
      </c>
    </row>
    <row r="954" spans="1:8" ht="14.4" x14ac:dyDescent="0.3">
      <c r="A954" s="50">
        <v>3203</v>
      </c>
      <c r="B954" s="51">
        <v>20001051034</v>
      </c>
      <c r="C954" s="52" t="s">
        <v>1663</v>
      </c>
      <c r="D954" s="52" t="s">
        <v>781</v>
      </c>
      <c r="E954" s="52" t="s">
        <v>1326</v>
      </c>
      <c r="F954" s="52" t="s">
        <v>1327</v>
      </c>
      <c r="G954" s="52" t="s">
        <v>213</v>
      </c>
      <c r="H954" s="52">
        <v>1</v>
      </c>
    </row>
    <row r="955" spans="1:8" ht="14.4" x14ac:dyDescent="0.3">
      <c r="A955" s="50">
        <v>3204</v>
      </c>
      <c r="B955" s="51">
        <v>20001101049</v>
      </c>
      <c r="C955" s="52" t="s">
        <v>2487</v>
      </c>
      <c r="D955" s="52" t="s">
        <v>1349</v>
      </c>
      <c r="E955" s="52" t="s">
        <v>1642</v>
      </c>
      <c r="F955" s="52" t="s">
        <v>775</v>
      </c>
      <c r="G955" s="52" t="s">
        <v>213</v>
      </c>
      <c r="H955" s="52">
        <v>1</v>
      </c>
    </row>
    <row r="956" spans="1:8" ht="14.4" x14ac:dyDescent="0.3">
      <c r="A956" s="50">
        <v>3205</v>
      </c>
      <c r="B956" s="51">
        <v>20000330012</v>
      </c>
      <c r="C956" s="52" t="s">
        <v>2480</v>
      </c>
      <c r="D956" s="52" t="s">
        <v>2481</v>
      </c>
      <c r="E956" s="52" t="s">
        <v>3615</v>
      </c>
      <c r="F956" s="52" t="s">
        <v>777</v>
      </c>
      <c r="G956" s="52" t="s">
        <v>213</v>
      </c>
      <c r="H956" s="52">
        <v>0.5</v>
      </c>
    </row>
    <row r="957" spans="1:8" ht="14.4" x14ac:dyDescent="0.3">
      <c r="A957" s="50">
        <v>3206</v>
      </c>
      <c r="B957" s="51">
        <v>20001054112</v>
      </c>
      <c r="C957" s="52" t="s">
        <v>2485</v>
      </c>
      <c r="D957" s="52" t="s">
        <v>672</v>
      </c>
      <c r="E957" s="52" t="s">
        <v>3074</v>
      </c>
      <c r="F957" s="52" t="s">
        <v>1056</v>
      </c>
      <c r="G957" s="52" t="s">
        <v>244</v>
      </c>
      <c r="H957" s="52">
        <v>1</v>
      </c>
    </row>
    <row r="958" spans="1:8" ht="14.4" x14ac:dyDescent="0.3">
      <c r="A958" s="50">
        <v>3207</v>
      </c>
      <c r="B958" s="51">
        <v>20009001104</v>
      </c>
      <c r="C958" s="52" t="s">
        <v>1438</v>
      </c>
      <c r="D958" s="52" t="s">
        <v>1282</v>
      </c>
      <c r="E958" s="52" t="s">
        <v>1970</v>
      </c>
      <c r="F958" s="52" t="s">
        <v>775</v>
      </c>
      <c r="G958" s="52" t="s">
        <v>244</v>
      </c>
      <c r="H958" s="52">
        <v>1</v>
      </c>
    </row>
    <row r="959" spans="1:8" ht="14.4" x14ac:dyDescent="0.3">
      <c r="A959" s="50">
        <v>3208</v>
      </c>
      <c r="B959" s="51">
        <v>20009001110</v>
      </c>
      <c r="C959" s="52" t="s">
        <v>2499</v>
      </c>
      <c r="D959" s="52" t="s">
        <v>1078</v>
      </c>
      <c r="E959" s="52" t="s">
        <v>1970</v>
      </c>
      <c r="F959" s="52" t="s">
        <v>1313</v>
      </c>
      <c r="G959" s="52" t="s">
        <v>213</v>
      </c>
      <c r="H959" s="52">
        <v>1</v>
      </c>
    </row>
    <row r="960" spans="1:8" ht="14.4" x14ac:dyDescent="0.3">
      <c r="A960" s="50">
        <v>3209</v>
      </c>
      <c r="B960" s="51">
        <v>20021052104</v>
      </c>
      <c r="C960" s="52" t="s">
        <v>3210</v>
      </c>
      <c r="D960" s="52" t="s">
        <v>1399</v>
      </c>
      <c r="E960" s="52" t="s">
        <v>3037</v>
      </c>
      <c r="F960" s="52" t="s">
        <v>1056</v>
      </c>
      <c r="G960" s="52" t="s">
        <v>244</v>
      </c>
      <c r="H960" s="52">
        <v>1</v>
      </c>
    </row>
    <row r="961" spans="1:8" ht="14.4" x14ac:dyDescent="0.3">
      <c r="A961" s="50">
        <v>3210</v>
      </c>
      <c r="B961" s="51">
        <v>20001101045</v>
      </c>
      <c r="C961" s="52" t="s">
        <v>2531</v>
      </c>
      <c r="D961" s="52" t="s">
        <v>2532</v>
      </c>
      <c r="E961" s="52" t="s">
        <v>2533</v>
      </c>
      <c r="F961" s="52" t="s">
        <v>1056</v>
      </c>
      <c r="G961" s="52" t="s">
        <v>244</v>
      </c>
      <c r="H961" s="52">
        <v>1</v>
      </c>
    </row>
    <row r="962" spans="1:8" ht="14.4" x14ac:dyDescent="0.3">
      <c r="A962" s="50">
        <v>3211</v>
      </c>
      <c r="B962" s="51">
        <v>20000310012</v>
      </c>
      <c r="C962" s="52" t="s">
        <v>2569</v>
      </c>
      <c r="D962" s="52" t="s">
        <v>828</v>
      </c>
      <c r="E962" s="52" t="s">
        <v>663</v>
      </c>
      <c r="F962" s="52" t="s">
        <v>777</v>
      </c>
      <c r="G962" s="52" t="s">
        <v>244</v>
      </c>
      <c r="H962" s="52">
        <v>0.5</v>
      </c>
    </row>
    <row r="963" spans="1:8" ht="14.4" x14ac:dyDescent="0.3">
      <c r="A963" s="50">
        <v>3212</v>
      </c>
      <c r="B963" s="51">
        <v>20001100108</v>
      </c>
      <c r="C963" s="52" t="s">
        <v>2570</v>
      </c>
      <c r="D963" s="52" t="s">
        <v>844</v>
      </c>
      <c r="E963" s="52" t="s">
        <v>1631</v>
      </c>
      <c r="F963" s="52" t="s">
        <v>1428</v>
      </c>
      <c r="G963" s="52" t="s">
        <v>244</v>
      </c>
      <c r="H963" s="52">
        <v>1</v>
      </c>
    </row>
    <row r="964" spans="1:8" ht="14.4" x14ac:dyDescent="0.3">
      <c r="A964" s="50">
        <v>3213</v>
      </c>
      <c r="B964" s="51">
        <v>20000310012</v>
      </c>
      <c r="C964" s="52" t="s">
        <v>2592</v>
      </c>
      <c r="D964" s="52" t="s">
        <v>2593</v>
      </c>
      <c r="E964" s="52" t="s">
        <v>663</v>
      </c>
      <c r="F964" s="52" t="s">
        <v>777</v>
      </c>
      <c r="G964" s="52" t="s">
        <v>244</v>
      </c>
      <c r="H964" s="52">
        <v>0.5</v>
      </c>
    </row>
    <row r="965" spans="1:8" ht="14.4" x14ac:dyDescent="0.3">
      <c r="A965" s="50">
        <v>3214</v>
      </c>
      <c r="B965" s="51">
        <v>20009001102</v>
      </c>
      <c r="C965" s="52" t="s">
        <v>2594</v>
      </c>
      <c r="D965" s="52" t="s">
        <v>1282</v>
      </c>
      <c r="E965" s="52" t="s">
        <v>1970</v>
      </c>
      <c r="F965" s="52" t="s">
        <v>656</v>
      </c>
      <c r="G965" s="52" t="s">
        <v>213</v>
      </c>
      <c r="H965" s="52">
        <v>1</v>
      </c>
    </row>
    <row r="966" spans="1:8" ht="14.4" x14ac:dyDescent="0.3">
      <c r="A966" s="50">
        <v>3215</v>
      </c>
      <c r="B966" s="51">
        <v>20001051034</v>
      </c>
      <c r="C966" s="52" t="s">
        <v>2595</v>
      </c>
      <c r="D966" s="52" t="s">
        <v>1312</v>
      </c>
      <c r="E966" s="52" t="s">
        <v>1326</v>
      </c>
      <c r="F966" s="52" t="s">
        <v>1327</v>
      </c>
      <c r="G966" s="52" t="s">
        <v>213</v>
      </c>
      <c r="H966" s="52">
        <v>0.5</v>
      </c>
    </row>
    <row r="967" spans="1:8" ht="14.4" x14ac:dyDescent="0.3">
      <c r="A967" s="50">
        <v>3216</v>
      </c>
      <c r="B967" s="51">
        <v>20000360012</v>
      </c>
      <c r="C967" s="52" t="s">
        <v>2596</v>
      </c>
      <c r="D967" s="52" t="s">
        <v>1557</v>
      </c>
      <c r="E967" s="52" t="s">
        <v>962</v>
      </c>
      <c r="F967" s="52" t="s">
        <v>777</v>
      </c>
      <c r="G967" s="52" t="s">
        <v>244</v>
      </c>
      <c r="H967" s="52">
        <v>1</v>
      </c>
    </row>
    <row r="968" spans="1:8" ht="14.4" x14ac:dyDescent="0.3">
      <c r="A968" s="50">
        <v>3217</v>
      </c>
      <c r="B968" s="51">
        <v>20009001105</v>
      </c>
      <c r="C968" s="52" t="s">
        <v>2684</v>
      </c>
      <c r="D968" s="52" t="s">
        <v>795</v>
      </c>
      <c r="E968" s="52" t="s">
        <v>1970</v>
      </c>
      <c r="F968" s="52" t="s">
        <v>1410</v>
      </c>
      <c r="G968" s="52" t="s">
        <v>244</v>
      </c>
      <c r="H968" s="52">
        <v>1</v>
      </c>
    </row>
    <row r="969" spans="1:8" ht="14.4" x14ac:dyDescent="0.3">
      <c r="A969" s="50">
        <v>3218</v>
      </c>
      <c r="B969" s="51">
        <v>20001051038</v>
      </c>
      <c r="C969" s="52" t="s">
        <v>2648</v>
      </c>
      <c r="D969" s="52" t="s">
        <v>721</v>
      </c>
      <c r="E969" s="52" t="s">
        <v>1326</v>
      </c>
      <c r="F969" s="52" t="s">
        <v>656</v>
      </c>
      <c r="G969" s="52" t="s">
        <v>213</v>
      </c>
      <c r="H969" s="52">
        <v>1</v>
      </c>
    </row>
    <row r="970" spans="1:8" ht="14.4" x14ac:dyDescent="0.3">
      <c r="A970" s="50">
        <v>3219</v>
      </c>
      <c r="B970" s="51">
        <v>20009001104</v>
      </c>
      <c r="C970" s="52" t="s">
        <v>2671</v>
      </c>
      <c r="D970" s="52" t="s">
        <v>2672</v>
      </c>
      <c r="E970" s="52" t="s">
        <v>1970</v>
      </c>
      <c r="F970" s="52" t="s">
        <v>775</v>
      </c>
      <c r="G970" s="52" t="s">
        <v>213</v>
      </c>
      <c r="H970" s="52">
        <v>1</v>
      </c>
    </row>
    <row r="971" spans="1:8" ht="14.4" x14ac:dyDescent="0.3">
      <c r="A971" s="50">
        <v>3221</v>
      </c>
      <c r="B971" s="51">
        <v>20009001102</v>
      </c>
      <c r="C971" s="52" t="s">
        <v>1386</v>
      </c>
      <c r="D971" s="52" t="s">
        <v>2119</v>
      </c>
      <c r="E971" s="52" t="s">
        <v>1970</v>
      </c>
      <c r="F971" s="52" t="s">
        <v>656</v>
      </c>
      <c r="G971" s="52" t="s">
        <v>213</v>
      </c>
      <c r="H971" s="52">
        <v>1</v>
      </c>
    </row>
    <row r="972" spans="1:8" ht="14.4" x14ac:dyDescent="0.3">
      <c r="A972" s="50">
        <v>3222</v>
      </c>
      <c r="B972" s="51">
        <v>20009001102</v>
      </c>
      <c r="C972" s="52" t="s">
        <v>1355</v>
      </c>
      <c r="D972" s="52" t="s">
        <v>1668</v>
      </c>
      <c r="E972" s="52" t="s">
        <v>1967</v>
      </c>
      <c r="F972" s="52" t="s">
        <v>656</v>
      </c>
      <c r="G972" s="52" t="s">
        <v>244</v>
      </c>
      <c r="H972" s="52">
        <v>1</v>
      </c>
    </row>
    <row r="973" spans="1:8" ht="14.4" x14ac:dyDescent="0.3">
      <c r="A973" s="50">
        <v>3223</v>
      </c>
      <c r="B973" s="51">
        <v>20009001104</v>
      </c>
      <c r="C973" s="52" t="s">
        <v>2673</v>
      </c>
      <c r="D973" s="52" t="s">
        <v>1557</v>
      </c>
      <c r="E973" s="52" t="s">
        <v>1967</v>
      </c>
      <c r="F973" s="52" t="s">
        <v>775</v>
      </c>
      <c r="G973" s="52" t="s">
        <v>213</v>
      </c>
      <c r="H973" s="52">
        <v>1</v>
      </c>
    </row>
    <row r="974" spans="1:8" ht="14.4" x14ac:dyDescent="0.3">
      <c r="A974" s="50">
        <v>3224</v>
      </c>
      <c r="B974" s="51">
        <v>20009001104</v>
      </c>
      <c r="C974" s="52" t="s">
        <v>2686</v>
      </c>
      <c r="D974" s="52" t="s">
        <v>2687</v>
      </c>
      <c r="E974" s="52" t="s">
        <v>1993</v>
      </c>
      <c r="F974" s="52" t="s">
        <v>775</v>
      </c>
      <c r="G974" s="52" t="s">
        <v>213</v>
      </c>
      <c r="H974" s="52">
        <v>1</v>
      </c>
    </row>
    <row r="975" spans="1:8" ht="14.4" x14ac:dyDescent="0.3">
      <c r="A975" s="50">
        <v>3226</v>
      </c>
      <c r="B975" s="51">
        <v>20000330012</v>
      </c>
      <c r="C975" s="52" t="s">
        <v>2719</v>
      </c>
      <c r="D975" s="52" t="s">
        <v>2720</v>
      </c>
      <c r="E975" s="52" t="s">
        <v>2930</v>
      </c>
      <c r="F975" s="52" t="s">
        <v>777</v>
      </c>
      <c r="G975" s="52" t="s">
        <v>244</v>
      </c>
      <c r="H975" s="52">
        <v>0.5</v>
      </c>
    </row>
    <row r="976" spans="1:8" ht="14.4" x14ac:dyDescent="0.3">
      <c r="A976" s="50">
        <v>3227</v>
      </c>
      <c r="B976" s="51">
        <v>20000310010</v>
      </c>
      <c r="C976" s="52" t="s">
        <v>2717</v>
      </c>
      <c r="D976" s="52" t="s">
        <v>2208</v>
      </c>
      <c r="E976" s="52" t="s">
        <v>2922</v>
      </c>
      <c r="F976" s="52" t="s">
        <v>664</v>
      </c>
      <c r="G976" s="52" t="s">
        <v>244</v>
      </c>
      <c r="H976" s="52">
        <v>0.5</v>
      </c>
    </row>
    <row r="977" spans="1:8" ht="14.4" x14ac:dyDescent="0.3">
      <c r="A977" s="50">
        <v>3228</v>
      </c>
      <c r="B977" s="51">
        <v>20001051038</v>
      </c>
      <c r="C977" s="52" t="s">
        <v>1560</v>
      </c>
      <c r="D977" s="52" t="s">
        <v>865</v>
      </c>
      <c r="E977" s="52" t="s">
        <v>1436</v>
      </c>
      <c r="F977" s="52" t="s">
        <v>656</v>
      </c>
      <c r="G977" s="52" t="s">
        <v>244</v>
      </c>
      <c r="H977" s="52">
        <v>1</v>
      </c>
    </row>
    <row r="978" spans="1:8" ht="14.4" x14ac:dyDescent="0.3">
      <c r="A978" s="50">
        <v>3229</v>
      </c>
      <c r="B978" s="51">
        <v>20000310010</v>
      </c>
      <c r="C978" s="52" t="s">
        <v>2718</v>
      </c>
      <c r="D978" s="52" t="s">
        <v>1344</v>
      </c>
      <c r="E978" s="52" t="s">
        <v>663</v>
      </c>
      <c r="F978" s="52" t="s">
        <v>664</v>
      </c>
      <c r="G978" s="52" t="s">
        <v>244</v>
      </c>
      <c r="H978" s="52">
        <v>0.5</v>
      </c>
    </row>
    <row r="979" spans="1:8" ht="14.4" x14ac:dyDescent="0.3">
      <c r="A979" s="50">
        <v>3230</v>
      </c>
      <c r="B979" s="51">
        <v>20009001104</v>
      </c>
      <c r="C979" s="52" t="s">
        <v>2732</v>
      </c>
      <c r="D979" s="52" t="s">
        <v>1279</v>
      </c>
      <c r="E979" s="52" t="s">
        <v>1988</v>
      </c>
      <c r="F979" s="52" t="s">
        <v>775</v>
      </c>
      <c r="G979" s="52" t="s">
        <v>213</v>
      </c>
      <c r="H979" s="52">
        <v>1</v>
      </c>
    </row>
    <row r="980" spans="1:8" ht="14.4" x14ac:dyDescent="0.3">
      <c r="A980" s="50">
        <v>3231</v>
      </c>
      <c r="B980" s="51">
        <v>20000330012</v>
      </c>
      <c r="C980" s="52" t="s">
        <v>2722</v>
      </c>
      <c r="D980" s="52" t="s">
        <v>1174</v>
      </c>
      <c r="E980" s="52" t="s">
        <v>2856</v>
      </c>
      <c r="F980" s="52" t="s">
        <v>777</v>
      </c>
      <c r="G980" s="52" t="s">
        <v>244</v>
      </c>
      <c r="H980" s="52">
        <v>1</v>
      </c>
    </row>
    <row r="981" spans="1:8" ht="14.4" x14ac:dyDescent="0.3">
      <c r="A981" s="50">
        <v>3232</v>
      </c>
      <c r="B981" s="51">
        <v>20009001103</v>
      </c>
      <c r="C981" s="52" t="s">
        <v>2743</v>
      </c>
      <c r="D981" s="52" t="s">
        <v>741</v>
      </c>
      <c r="E981" s="52" t="s">
        <v>1988</v>
      </c>
      <c r="F981" s="52" t="s">
        <v>1056</v>
      </c>
      <c r="G981" s="52" t="s">
        <v>213</v>
      </c>
      <c r="H981" s="52">
        <v>1</v>
      </c>
    </row>
    <row r="982" spans="1:8" ht="14.4" x14ac:dyDescent="0.3">
      <c r="A982" s="50">
        <v>3233</v>
      </c>
      <c r="B982" s="51">
        <v>20001051038</v>
      </c>
      <c r="C982" s="52" t="s">
        <v>2744</v>
      </c>
      <c r="D982" s="52" t="s">
        <v>932</v>
      </c>
      <c r="E982" s="52" t="s">
        <v>1326</v>
      </c>
      <c r="F982" s="52" t="s">
        <v>656</v>
      </c>
      <c r="G982" s="52" t="s">
        <v>244</v>
      </c>
      <c r="H982" s="52">
        <v>1</v>
      </c>
    </row>
    <row r="983" spans="1:8" ht="14.4" x14ac:dyDescent="0.3">
      <c r="A983" s="50">
        <v>3234</v>
      </c>
      <c r="B983" s="51">
        <v>20000340012</v>
      </c>
      <c r="C983" s="52" t="s">
        <v>2745</v>
      </c>
      <c r="D983" s="52" t="s">
        <v>2746</v>
      </c>
      <c r="E983" s="52" t="s">
        <v>2932</v>
      </c>
      <c r="F983" s="52" t="s">
        <v>777</v>
      </c>
      <c r="G983" s="52" t="s">
        <v>244</v>
      </c>
      <c r="H983" s="52">
        <v>1</v>
      </c>
    </row>
    <row r="984" spans="1:8" ht="14.4" x14ac:dyDescent="0.3">
      <c r="A984" s="50">
        <v>3235</v>
      </c>
      <c r="B984" s="51">
        <v>20009001105</v>
      </c>
      <c r="C984" s="52" t="s">
        <v>1163</v>
      </c>
      <c r="D984" s="52" t="s">
        <v>741</v>
      </c>
      <c r="E984" s="52" t="s">
        <v>2453</v>
      </c>
      <c r="F984" s="52" t="s">
        <v>1410</v>
      </c>
      <c r="G984" s="52" t="s">
        <v>213</v>
      </c>
      <c r="H984" s="52">
        <v>1</v>
      </c>
    </row>
    <row r="985" spans="1:8" ht="14.4" x14ac:dyDescent="0.3">
      <c r="A985" s="50">
        <v>3236</v>
      </c>
      <c r="B985" s="51">
        <v>20001101049</v>
      </c>
      <c r="C985" s="52" t="s">
        <v>2747</v>
      </c>
      <c r="D985" s="52" t="s">
        <v>2748</v>
      </c>
      <c r="E985" s="52" t="s">
        <v>2237</v>
      </c>
      <c r="F985" s="52" t="s">
        <v>775</v>
      </c>
      <c r="G985" s="52" t="s">
        <v>213</v>
      </c>
      <c r="H985" s="52">
        <v>1</v>
      </c>
    </row>
    <row r="986" spans="1:8" ht="14.4" x14ac:dyDescent="0.3">
      <c r="A986" s="50">
        <v>3237</v>
      </c>
      <c r="B986" s="51">
        <v>20021052104</v>
      </c>
      <c r="C986" s="52" t="s">
        <v>951</v>
      </c>
      <c r="D986" s="52" t="s">
        <v>2749</v>
      </c>
      <c r="E986" s="52" t="s">
        <v>2289</v>
      </c>
      <c r="F986" s="52" t="s">
        <v>775</v>
      </c>
      <c r="G986" s="52" t="s">
        <v>244</v>
      </c>
      <c r="H986" s="52">
        <v>1</v>
      </c>
    </row>
    <row r="987" spans="1:8" ht="14.4" x14ac:dyDescent="0.3">
      <c r="A987" s="50">
        <v>3238</v>
      </c>
      <c r="B987" s="51">
        <v>20009001106</v>
      </c>
      <c r="C987" s="52" t="s">
        <v>2775</v>
      </c>
      <c r="D987" s="52" t="s">
        <v>2776</v>
      </c>
      <c r="E987" s="52" t="s">
        <v>1970</v>
      </c>
      <c r="F987" s="52" t="s">
        <v>1428</v>
      </c>
      <c r="G987" s="52" t="s">
        <v>213</v>
      </c>
      <c r="H987" s="52">
        <v>1</v>
      </c>
    </row>
    <row r="988" spans="1:8" ht="14.4" x14ac:dyDescent="0.3">
      <c r="A988" s="50">
        <v>3239</v>
      </c>
      <c r="B988" s="51">
        <v>20009001105</v>
      </c>
      <c r="C988" s="52" t="s">
        <v>2794</v>
      </c>
      <c r="D988" s="52" t="s">
        <v>672</v>
      </c>
      <c r="E988" s="52" t="s">
        <v>1970</v>
      </c>
      <c r="F988" s="52" t="s">
        <v>1410</v>
      </c>
      <c r="G988" s="52" t="s">
        <v>213</v>
      </c>
      <c r="H988" s="52">
        <v>1</v>
      </c>
    </row>
    <row r="989" spans="1:8" ht="14.4" x14ac:dyDescent="0.3">
      <c r="A989" s="50">
        <v>3240</v>
      </c>
      <c r="B989" s="51">
        <v>20000360011</v>
      </c>
      <c r="C989" s="52" t="s">
        <v>2777</v>
      </c>
      <c r="D989" s="52" t="s">
        <v>2778</v>
      </c>
      <c r="E989" s="52" t="s">
        <v>955</v>
      </c>
      <c r="F989" s="52" t="s">
        <v>742</v>
      </c>
      <c r="G989" s="52" t="s">
        <v>213</v>
      </c>
      <c r="H989" s="52">
        <v>1</v>
      </c>
    </row>
    <row r="990" spans="1:8" ht="14.4" x14ac:dyDescent="0.3">
      <c r="A990" s="50">
        <v>3241</v>
      </c>
      <c r="B990" s="51">
        <v>20000310012</v>
      </c>
      <c r="C990" s="52" t="s">
        <v>2795</v>
      </c>
      <c r="D990" s="52" t="s">
        <v>2796</v>
      </c>
      <c r="E990" s="52" t="s">
        <v>2929</v>
      </c>
      <c r="F990" s="52" t="s">
        <v>777</v>
      </c>
      <c r="G990" s="52" t="s">
        <v>244</v>
      </c>
      <c r="H990" s="52">
        <v>0.5</v>
      </c>
    </row>
    <row r="991" spans="1:8" ht="14.4" x14ac:dyDescent="0.3">
      <c r="A991" s="50">
        <v>3242</v>
      </c>
      <c r="B991" s="51">
        <v>20001054112</v>
      </c>
      <c r="C991" s="52" t="s">
        <v>2825</v>
      </c>
      <c r="D991" s="52" t="s">
        <v>2826</v>
      </c>
      <c r="E991" s="52" t="s">
        <v>3074</v>
      </c>
      <c r="F991" s="52" t="s">
        <v>656</v>
      </c>
      <c r="G991" s="52" t="s">
        <v>244</v>
      </c>
      <c r="H991" s="52">
        <v>1</v>
      </c>
    </row>
    <row r="992" spans="1:8" ht="14.4" x14ac:dyDescent="0.3">
      <c r="A992" s="50">
        <v>3243</v>
      </c>
      <c r="B992" s="51">
        <v>20000310012</v>
      </c>
      <c r="C992" s="52" t="s">
        <v>2875</v>
      </c>
      <c r="D992" s="52" t="s">
        <v>2876</v>
      </c>
      <c r="E992" s="52" t="s">
        <v>2929</v>
      </c>
      <c r="F992" s="52" t="s">
        <v>777</v>
      </c>
      <c r="G992" s="52" t="s">
        <v>244</v>
      </c>
      <c r="H992" s="52">
        <v>0.5</v>
      </c>
    </row>
    <row r="993" spans="1:8" ht="14.4" x14ac:dyDescent="0.3">
      <c r="A993" s="50">
        <v>3244</v>
      </c>
      <c r="B993" s="51">
        <v>20017050135</v>
      </c>
      <c r="C993" s="52" t="s">
        <v>2877</v>
      </c>
      <c r="D993" s="52" t="s">
        <v>2411</v>
      </c>
      <c r="E993" s="52" t="s">
        <v>2858</v>
      </c>
      <c r="F993" s="52" t="s">
        <v>656</v>
      </c>
      <c r="G993" s="52" t="s">
        <v>213</v>
      </c>
      <c r="H993" s="52">
        <v>1</v>
      </c>
    </row>
    <row r="994" spans="1:8" ht="14.4" x14ac:dyDescent="0.3">
      <c r="A994" s="50">
        <v>3245</v>
      </c>
      <c r="B994" s="51">
        <v>20000570121</v>
      </c>
      <c r="C994" s="52" t="s">
        <v>2878</v>
      </c>
      <c r="D994" s="52" t="s">
        <v>690</v>
      </c>
      <c r="E994" s="52" t="s">
        <v>1031</v>
      </c>
      <c r="F994" s="52" t="s">
        <v>1056</v>
      </c>
      <c r="G994" s="52" t="s">
        <v>213</v>
      </c>
      <c r="H994" s="52">
        <v>1</v>
      </c>
    </row>
    <row r="995" spans="1:8" ht="14.4" x14ac:dyDescent="0.3">
      <c r="A995" s="50">
        <v>3246</v>
      </c>
      <c r="B995" s="51">
        <v>20000950162</v>
      </c>
      <c r="C995" s="52" t="s">
        <v>3794</v>
      </c>
      <c r="D995" s="52" t="s">
        <v>1540</v>
      </c>
      <c r="E995" s="52" t="s">
        <v>3760</v>
      </c>
      <c r="F995" s="52" t="s">
        <v>628</v>
      </c>
      <c r="G995" s="52" t="s">
        <v>213</v>
      </c>
      <c r="H995" s="52">
        <v>1</v>
      </c>
    </row>
    <row r="996" spans="1:8" ht="14.4" x14ac:dyDescent="0.3">
      <c r="A996" s="50">
        <v>3247</v>
      </c>
      <c r="B996" s="51">
        <v>20001051046</v>
      </c>
      <c r="C996" s="52" t="s">
        <v>2898</v>
      </c>
      <c r="D996" s="52" t="s">
        <v>2899</v>
      </c>
      <c r="E996" s="52" t="s">
        <v>1326</v>
      </c>
      <c r="F996" s="52" t="s">
        <v>775</v>
      </c>
      <c r="G996" s="52" t="s">
        <v>213</v>
      </c>
      <c r="H996" s="52">
        <v>1</v>
      </c>
    </row>
    <row r="997" spans="1:8" ht="14.4" x14ac:dyDescent="0.3">
      <c r="A997" s="50">
        <v>3248</v>
      </c>
      <c r="B997" s="51">
        <v>20000330012</v>
      </c>
      <c r="C997" s="52" t="s">
        <v>2933</v>
      </c>
      <c r="D997" s="52" t="s">
        <v>2934</v>
      </c>
      <c r="E997" s="52" t="s">
        <v>663</v>
      </c>
      <c r="F997" s="52" t="s">
        <v>777</v>
      </c>
      <c r="G997" s="52" t="s">
        <v>244</v>
      </c>
      <c r="H997" s="52">
        <v>1</v>
      </c>
    </row>
    <row r="998" spans="1:8" ht="14.4" x14ac:dyDescent="0.3">
      <c r="A998" s="50">
        <v>3249</v>
      </c>
      <c r="B998" s="51">
        <v>20000330012</v>
      </c>
      <c r="C998" s="52" t="s">
        <v>1164</v>
      </c>
      <c r="D998" s="52" t="s">
        <v>2091</v>
      </c>
      <c r="E998" s="52" t="s">
        <v>2856</v>
      </c>
      <c r="F998" s="52" t="s">
        <v>777</v>
      </c>
      <c r="G998" s="52" t="s">
        <v>244</v>
      </c>
      <c r="H998" s="52">
        <v>1</v>
      </c>
    </row>
    <row r="999" spans="1:8" ht="14.4" x14ac:dyDescent="0.3">
      <c r="A999" s="50">
        <v>3251</v>
      </c>
      <c r="B999" s="51">
        <v>20009001103</v>
      </c>
      <c r="C999" s="52" t="s">
        <v>2948</v>
      </c>
      <c r="D999" s="52" t="s">
        <v>2949</v>
      </c>
      <c r="E999" s="52" t="s">
        <v>2677</v>
      </c>
      <c r="F999" s="52" t="s">
        <v>1056</v>
      </c>
      <c r="G999" s="52" t="s">
        <v>213</v>
      </c>
      <c r="H999" s="52">
        <v>1</v>
      </c>
    </row>
    <row r="1000" spans="1:8" ht="14.4" x14ac:dyDescent="0.3">
      <c r="A1000" s="50">
        <v>3252</v>
      </c>
      <c r="B1000" s="51">
        <v>20000330012</v>
      </c>
      <c r="C1000" s="52" t="s">
        <v>1681</v>
      </c>
      <c r="D1000" s="52" t="s">
        <v>2967</v>
      </c>
      <c r="E1000" s="52" t="s">
        <v>2930</v>
      </c>
      <c r="F1000" s="52" t="s">
        <v>777</v>
      </c>
      <c r="G1000" s="52" t="s">
        <v>244</v>
      </c>
      <c r="H1000" s="52">
        <v>1</v>
      </c>
    </row>
    <row r="1001" spans="1:8" ht="14.4" x14ac:dyDescent="0.3">
      <c r="A1001" s="50">
        <v>3253</v>
      </c>
      <c r="B1001" s="51">
        <v>20009001103</v>
      </c>
      <c r="C1001" s="52" t="s">
        <v>2968</v>
      </c>
      <c r="D1001" s="52" t="s">
        <v>2969</v>
      </c>
      <c r="E1001" s="52" t="s">
        <v>1970</v>
      </c>
      <c r="F1001" s="52" t="s">
        <v>1056</v>
      </c>
      <c r="G1001" s="52" t="s">
        <v>213</v>
      </c>
      <c r="H1001" s="52">
        <v>1</v>
      </c>
    </row>
    <row r="1002" spans="1:8" ht="14.4" x14ac:dyDescent="0.3">
      <c r="A1002" s="50">
        <v>3254</v>
      </c>
      <c r="B1002" s="51">
        <v>20001051054</v>
      </c>
      <c r="C1002" s="52" t="s">
        <v>2970</v>
      </c>
      <c r="D1002" s="52" t="s">
        <v>672</v>
      </c>
      <c r="E1002" s="52" t="s">
        <v>1414</v>
      </c>
      <c r="F1002" s="52" t="s">
        <v>656</v>
      </c>
      <c r="G1002" s="52" t="s">
        <v>244</v>
      </c>
      <c r="H1002" s="52">
        <v>1</v>
      </c>
    </row>
    <row r="1003" spans="1:8" ht="14.4" x14ac:dyDescent="0.3">
      <c r="A1003" s="50">
        <v>3255</v>
      </c>
      <c r="B1003" s="51">
        <v>20001051054</v>
      </c>
      <c r="C1003" s="52" t="s">
        <v>2971</v>
      </c>
      <c r="D1003" s="52" t="s">
        <v>2972</v>
      </c>
      <c r="E1003" s="52" t="s">
        <v>3244</v>
      </c>
      <c r="F1003" s="52" t="s">
        <v>656</v>
      </c>
      <c r="G1003" s="52" t="s">
        <v>213</v>
      </c>
      <c r="H1003" s="52">
        <v>0.5</v>
      </c>
    </row>
    <row r="1004" spans="1:8" ht="14.4" x14ac:dyDescent="0.3">
      <c r="A1004" s="50">
        <v>3256</v>
      </c>
      <c r="B1004" s="51">
        <v>20009001105</v>
      </c>
      <c r="C1004" s="52" t="s">
        <v>3059</v>
      </c>
      <c r="D1004" s="52" t="s">
        <v>1443</v>
      </c>
      <c r="E1004" s="52" t="s">
        <v>2774</v>
      </c>
      <c r="F1004" s="52" t="s">
        <v>1410</v>
      </c>
      <c r="G1004" s="52" t="s">
        <v>213</v>
      </c>
      <c r="H1004" s="52">
        <v>1</v>
      </c>
    </row>
    <row r="1005" spans="1:8" ht="14.4" x14ac:dyDescent="0.3">
      <c r="A1005" s="50">
        <v>3257</v>
      </c>
      <c r="B1005" s="51">
        <v>20000310012</v>
      </c>
      <c r="C1005" s="52" t="s">
        <v>2990</v>
      </c>
      <c r="D1005" s="52" t="s">
        <v>838</v>
      </c>
      <c r="E1005" s="52" t="s">
        <v>3211</v>
      </c>
      <c r="F1005" s="52" t="s">
        <v>777</v>
      </c>
      <c r="G1005" s="52" t="s">
        <v>244</v>
      </c>
      <c r="H1005" s="52">
        <v>1</v>
      </c>
    </row>
    <row r="1006" spans="1:8" ht="14.4" x14ac:dyDescent="0.3">
      <c r="A1006" s="50">
        <v>3258</v>
      </c>
      <c r="B1006" s="51">
        <v>20000330012</v>
      </c>
      <c r="C1006" s="52" t="s">
        <v>2991</v>
      </c>
      <c r="D1006" s="52" t="s">
        <v>1778</v>
      </c>
      <c r="E1006" s="52" t="s">
        <v>2930</v>
      </c>
      <c r="F1006" s="52" t="s">
        <v>777</v>
      </c>
      <c r="G1006" s="52" t="s">
        <v>244</v>
      </c>
      <c r="H1006" s="52">
        <v>1</v>
      </c>
    </row>
    <row r="1007" spans="1:8" ht="14.4" x14ac:dyDescent="0.3">
      <c r="A1007" s="50">
        <v>3259</v>
      </c>
      <c r="B1007" s="51">
        <v>20000660028</v>
      </c>
      <c r="C1007" s="52" t="s">
        <v>2992</v>
      </c>
      <c r="D1007" s="52" t="s">
        <v>968</v>
      </c>
      <c r="E1007" s="52" t="s">
        <v>1162</v>
      </c>
      <c r="F1007" s="52" t="s">
        <v>656</v>
      </c>
      <c r="G1007" s="52" t="s">
        <v>213</v>
      </c>
      <c r="H1007" s="52">
        <v>1</v>
      </c>
    </row>
    <row r="1008" spans="1:8" ht="14.4" x14ac:dyDescent="0.3">
      <c r="A1008" s="50">
        <v>3260</v>
      </c>
      <c r="B1008" s="51">
        <v>20021052106</v>
      </c>
      <c r="C1008" s="52" t="s">
        <v>2999</v>
      </c>
      <c r="D1008" s="52" t="s">
        <v>3000</v>
      </c>
      <c r="E1008" s="52" t="s">
        <v>3728</v>
      </c>
      <c r="F1008" s="52" t="s">
        <v>1428</v>
      </c>
      <c r="G1008" s="52" t="s">
        <v>213</v>
      </c>
      <c r="H1008" s="52">
        <v>1</v>
      </c>
    </row>
    <row r="1009" spans="1:8" ht="14.4" x14ac:dyDescent="0.3">
      <c r="A1009" s="50">
        <v>3261</v>
      </c>
      <c r="B1009" s="51">
        <v>20000950151</v>
      </c>
      <c r="C1009" s="52" t="s">
        <v>2060</v>
      </c>
      <c r="D1009" s="52" t="s">
        <v>838</v>
      </c>
      <c r="E1009" s="52" t="s">
        <v>3038</v>
      </c>
      <c r="F1009" s="52" t="s">
        <v>775</v>
      </c>
      <c r="G1009" s="52" t="s">
        <v>244</v>
      </c>
      <c r="H1009" s="52">
        <v>1</v>
      </c>
    </row>
    <row r="1010" spans="1:8" ht="14.4" x14ac:dyDescent="0.3">
      <c r="A1010" s="50">
        <v>3262</v>
      </c>
      <c r="B1010" s="51">
        <v>20001051034</v>
      </c>
      <c r="C1010" s="52" t="s">
        <v>3060</v>
      </c>
      <c r="D1010" s="52" t="s">
        <v>1164</v>
      </c>
      <c r="E1010" s="52" t="s">
        <v>1326</v>
      </c>
      <c r="F1010" s="52" t="s">
        <v>1327</v>
      </c>
      <c r="G1010" s="52" t="s">
        <v>213</v>
      </c>
      <c r="H1010" s="52">
        <v>1</v>
      </c>
    </row>
    <row r="1011" spans="1:8" ht="14.4" x14ac:dyDescent="0.3">
      <c r="A1011" s="50">
        <v>3263</v>
      </c>
      <c r="B1011" s="51">
        <v>20001054112</v>
      </c>
      <c r="C1011" s="52" t="s">
        <v>3073</v>
      </c>
      <c r="D1011" s="52" t="s">
        <v>2997</v>
      </c>
      <c r="E1011" s="52" t="s">
        <v>3074</v>
      </c>
      <c r="F1011" s="52" t="s">
        <v>775</v>
      </c>
      <c r="G1011" s="52" t="s">
        <v>244</v>
      </c>
      <c r="H1011" s="52">
        <v>1</v>
      </c>
    </row>
    <row r="1012" spans="1:8" ht="14.4" x14ac:dyDescent="0.3">
      <c r="A1012" s="50">
        <v>3264</v>
      </c>
      <c r="B1012" s="51">
        <v>20009001104</v>
      </c>
      <c r="C1012" s="52" t="s">
        <v>867</v>
      </c>
      <c r="D1012" s="52" t="s">
        <v>3104</v>
      </c>
      <c r="E1012" s="52" t="s">
        <v>1970</v>
      </c>
      <c r="F1012" s="52" t="s">
        <v>775</v>
      </c>
      <c r="G1012" s="52" t="s">
        <v>213</v>
      </c>
      <c r="H1012" s="52">
        <v>1</v>
      </c>
    </row>
    <row r="1013" spans="1:8" ht="14.4" x14ac:dyDescent="0.3">
      <c r="A1013" s="50">
        <v>3265</v>
      </c>
      <c r="B1013" s="51">
        <v>20000360012</v>
      </c>
      <c r="C1013" s="52" t="s">
        <v>3098</v>
      </c>
      <c r="D1013" s="52" t="s">
        <v>2647</v>
      </c>
      <c r="E1013" s="52" t="s">
        <v>962</v>
      </c>
      <c r="F1013" s="52" t="s">
        <v>777</v>
      </c>
      <c r="G1013" s="52" t="s">
        <v>213</v>
      </c>
      <c r="H1013" s="52">
        <v>1</v>
      </c>
    </row>
    <row r="1014" spans="1:8" ht="14.4" x14ac:dyDescent="0.3">
      <c r="A1014" s="50">
        <v>3266</v>
      </c>
      <c r="B1014" s="51">
        <v>20009001103</v>
      </c>
      <c r="C1014" s="52" t="s">
        <v>3103</v>
      </c>
      <c r="D1014" s="52" t="s">
        <v>1318</v>
      </c>
      <c r="E1014" s="52" t="s">
        <v>1993</v>
      </c>
      <c r="F1014" s="52" t="s">
        <v>1056</v>
      </c>
      <c r="G1014" s="52" t="s">
        <v>213</v>
      </c>
      <c r="H1014" s="52">
        <v>1</v>
      </c>
    </row>
    <row r="1015" spans="1:8" ht="14.4" x14ac:dyDescent="0.3">
      <c r="A1015" s="50">
        <v>3267</v>
      </c>
      <c r="B1015" s="51">
        <v>20000310012</v>
      </c>
      <c r="C1015" s="52" t="s">
        <v>1164</v>
      </c>
      <c r="D1015" s="52" t="s">
        <v>1559</v>
      </c>
      <c r="E1015" s="52" t="s">
        <v>2922</v>
      </c>
      <c r="F1015" s="52" t="s">
        <v>777</v>
      </c>
      <c r="G1015" s="52" t="s">
        <v>244</v>
      </c>
      <c r="H1015" s="52">
        <v>0.5</v>
      </c>
    </row>
    <row r="1016" spans="1:8" ht="14.4" x14ac:dyDescent="0.3">
      <c r="A1016" s="50">
        <v>3268</v>
      </c>
      <c r="B1016" s="51">
        <v>20009001103</v>
      </c>
      <c r="C1016" s="52" t="s">
        <v>1157</v>
      </c>
      <c r="D1016" s="52" t="s">
        <v>3115</v>
      </c>
      <c r="E1016" s="52" t="s">
        <v>1970</v>
      </c>
      <c r="F1016" s="52" t="s">
        <v>1056</v>
      </c>
      <c r="G1016" s="52" t="s">
        <v>213</v>
      </c>
      <c r="H1016" s="52">
        <v>1</v>
      </c>
    </row>
    <row r="1017" spans="1:8" ht="14.4" x14ac:dyDescent="0.3">
      <c r="A1017" s="50">
        <v>3269</v>
      </c>
      <c r="B1017" s="51">
        <v>20001101045</v>
      </c>
      <c r="C1017" s="52" t="s">
        <v>3116</v>
      </c>
      <c r="D1017" s="52" t="s">
        <v>719</v>
      </c>
      <c r="E1017" s="52" t="s">
        <v>3117</v>
      </c>
      <c r="F1017" s="52" t="s">
        <v>1056</v>
      </c>
      <c r="G1017" s="52" t="s">
        <v>213</v>
      </c>
      <c r="H1017" s="52">
        <v>1</v>
      </c>
    </row>
    <row r="1018" spans="1:8" ht="14.4" x14ac:dyDescent="0.3">
      <c r="A1018" s="50">
        <v>3270</v>
      </c>
      <c r="B1018" s="51">
        <v>20001051038</v>
      </c>
      <c r="C1018" s="52" t="s">
        <v>3141</v>
      </c>
      <c r="D1018" s="52" t="s">
        <v>3142</v>
      </c>
      <c r="E1018" s="52" t="s">
        <v>1326</v>
      </c>
      <c r="F1018" s="52" t="s">
        <v>656</v>
      </c>
      <c r="G1018" s="52" t="s">
        <v>213</v>
      </c>
      <c r="H1018" s="52">
        <v>1</v>
      </c>
    </row>
    <row r="1019" spans="1:8" ht="14.4" x14ac:dyDescent="0.3">
      <c r="A1019" s="50">
        <v>3271</v>
      </c>
      <c r="B1019" s="51">
        <v>20000330012</v>
      </c>
      <c r="C1019" s="52" t="s">
        <v>3118</v>
      </c>
      <c r="D1019" s="52" t="s">
        <v>1344</v>
      </c>
      <c r="E1019" s="52" t="s">
        <v>2930</v>
      </c>
      <c r="F1019" s="52" t="s">
        <v>777</v>
      </c>
      <c r="G1019" s="52" t="s">
        <v>244</v>
      </c>
      <c r="H1019" s="52">
        <v>1</v>
      </c>
    </row>
    <row r="1020" spans="1:8" ht="14.4" x14ac:dyDescent="0.3">
      <c r="A1020" s="50">
        <v>3272</v>
      </c>
      <c r="B1020" s="51">
        <v>20009001106</v>
      </c>
      <c r="C1020" s="52" t="s">
        <v>3143</v>
      </c>
      <c r="D1020" s="52" t="s">
        <v>715</v>
      </c>
      <c r="E1020" s="52" t="s">
        <v>1970</v>
      </c>
      <c r="F1020" s="52" t="s">
        <v>1428</v>
      </c>
      <c r="G1020" s="52" t="s">
        <v>213</v>
      </c>
      <c r="H1020" s="52">
        <v>1</v>
      </c>
    </row>
    <row r="1021" spans="1:8" ht="14.4" x14ac:dyDescent="0.3">
      <c r="A1021" s="50">
        <v>3273</v>
      </c>
      <c r="B1021" s="51">
        <v>20009001104</v>
      </c>
      <c r="C1021" s="52" t="s">
        <v>3144</v>
      </c>
      <c r="D1021" s="52" t="s">
        <v>3145</v>
      </c>
      <c r="E1021" s="52" t="s">
        <v>1970</v>
      </c>
      <c r="F1021" s="52" t="s">
        <v>775</v>
      </c>
      <c r="G1021" s="52" t="s">
        <v>213</v>
      </c>
      <c r="H1021" s="52">
        <v>1</v>
      </c>
    </row>
    <row r="1022" spans="1:8" ht="14.4" x14ac:dyDescent="0.3">
      <c r="A1022" s="50">
        <v>3274</v>
      </c>
      <c r="B1022" s="51">
        <v>20001051042</v>
      </c>
      <c r="C1022" s="52" t="s">
        <v>3146</v>
      </c>
      <c r="D1022" s="52" t="s">
        <v>3147</v>
      </c>
      <c r="E1022" s="52" t="s">
        <v>1326</v>
      </c>
      <c r="F1022" s="52" t="s">
        <v>1056</v>
      </c>
      <c r="G1022" s="52" t="s">
        <v>213</v>
      </c>
      <c r="H1022" s="52">
        <v>1</v>
      </c>
    </row>
    <row r="1023" spans="1:8" ht="14.4" x14ac:dyDescent="0.3">
      <c r="A1023" s="50">
        <v>3275</v>
      </c>
      <c r="B1023" s="51">
        <v>20009001104</v>
      </c>
      <c r="C1023" s="52" t="s">
        <v>3162</v>
      </c>
      <c r="D1023" s="52" t="s">
        <v>1800</v>
      </c>
      <c r="E1023" s="52" t="s">
        <v>3163</v>
      </c>
      <c r="F1023" s="52" t="s">
        <v>775</v>
      </c>
      <c r="G1023" s="52" t="s">
        <v>244</v>
      </c>
      <c r="H1023" s="52">
        <v>1</v>
      </c>
    </row>
    <row r="1024" spans="1:8" ht="14.4" x14ac:dyDescent="0.3">
      <c r="A1024" s="50">
        <v>3276</v>
      </c>
      <c r="B1024" s="51">
        <v>20001051042</v>
      </c>
      <c r="C1024" s="52" t="s">
        <v>3164</v>
      </c>
      <c r="D1024" s="52" t="s">
        <v>901</v>
      </c>
      <c r="E1024" s="52" t="s">
        <v>1326</v>
      </c>
      <c r="F1024" s="52" t="s">
        <v>1056</v>
      </c>
      <c r="G1024" s="52" t="s">
        <v>213</v>
      </c>
      <c r="H1024" s="52">
        <v>1</v>
      </c>
    </row>
    <row r="1025" spans="1:8" ht="14.4" x14ac:dyDescent="0.3">
      <c r="A1025" s="50">
        <v>3277</v>
      </c>
      <c r="B1025" s="51">
        <v>20000110107</v>
      </c>
      <c r="C1025" s="52" t="s">
        <v>3165</v>
      </c>
      <c r="D1025" s="52" t="s">
        <v>739</v>
      </c>
      <c r="E1025" s="52" t="s">
        <v>633</v>
      </c>
      <c r="F1025" s="52" t="s">
        <v>656</v>
      </c>
      <c r="G1025" s="52" t="s">
        <v>213</v>
      </c>
      <c r="H1025" s="52">
        <v>1</v>
      </c>
    </row>
    <row r="1026" spans="1:8" ht="14.4" x14ac:dyDescent="0.3">
      <c r="A1026" s="50">
        <v>3278</v>
      </c>
      <c r="B1026" s="51">
        <v>20020091040</v>
      </c>
      <c r="C1026" s="52" t="s">
        <v>2305</v>
      </c>
      <c r="D1026" s="52" t="s">
        <v>3166</v>
      </c>
      <c r="E1026" s="52" t="s">
        <v>3167</v>
      </c>
      <c r="F1026" s="52" t="s">
        <v>656</v>
      </c>
      <c r="G1026" s="52" t="s">
        <v>145</v>
      </c>
      <c r="H1026" s="52">
        <v>1</v>
      </c>
    </row>
    <row r="1027" spans="1:8" ht="14.4" x14ac:dyDescent="0.3">
      <c r="A1027" s="50">
        <v>3280</v>
      </c>
      <c r="B1027" s="51">
        <v>20009001102</v>
      </c>
      <c r="C1027" s="52" t="s">
        <v>1357</v>
      </c>
      <c r="D1027" s="52" t="s">
        <v>3169</v>
      </c>
      <c r="E1027" s="52" t="s">
        <v>3708</v>
      </c>
      <c r="F1027" s="52" t="s">
        <v>656</v>
      </c>
      <c r="G1027" s="52" t="s">
        <v>213</v>
      </c>
      <c r="H1027" s="52">
        <v>1</v>
      </c>
    </row>
    <row r="1028" spans="1:8" ht="14.4" x14ac:dyDescent="0.3">
      <c r="A1028" s="50">
        <v>3281</v>
      </c>
      <c r="B1028" s="51">
        <v>20001102068</v>
      </c>
      <c r="C1028" s="52" t="s">
        <v>3170</v>
      </c>
      <c r="D1028" s="52" t="s">
        <v>1366</v>
      </c>
      <c r="E1028" s="52" t="s">
        <v>1639</v>
      </c>
      <c r="F1028" s="52" t="s">
        <v>628</v>
      </c>
      <c r="G1028" s="52" t="s">
        <v>213</v>
      </c>
      <c r="H1028" s="52">
        <v>1</v>
      </c>
    </row>
    <row r="1029" spans="1:8" ht="14.4" x14ac:dyDescent="0.3">
      <c r="A1029" s="50">
        <v>3282</v>
      </c>
      <c r="B1029" s="51">
        <v>20017290154</v>
      </c>
      <c r="C1029" s="52" t="s">
        <v>3188</v>
      </c>
      <c r="D1029" s="52" t="s">
        <v>3189</v>
      </c>
      <c r="E1029" s="52" t="s">
        <v>1275</v>
      </c>
      <c r="F1029" s="52" t="s">
        <v>656</v>
      </c>
      <c r="G1029" s="52" t="s">
        <v>244</v>
      </c>
      <c r="H1029" s="52">
        <v>1</v>
      </c>
    </row>
    <row r="1030" spans="1:8" ht="14.4" x14ac:dyDescent="0.3">
      <c r="A1030" s="50">
        <v>3283</v>
      </c>
      <c r="B1030" s="51">
        <v>20000310012</v>
      </c>
      <c r="C1030" s="52" t="s">
        <v>3190</v>
      </c>
      <c r="D1030" s="52" t="s">
        <v>719</v>
      </c>
      <c r="E1030" s="52" t="s">
        <v>2922</v>
      </c>
      <c r="F1030" s="52" t="s">
        <v>777</v>
      </c>
      <c r="G1030" s="52" t="s">
        <v>244</v>
      </c>
      <c r="H1030" s="52">
        <v>1</v>
      </c>
    </row>
    <row r="1031" spans="1:8" ht="14.4" x14ac:dyDescent="0.3">
      <c r="A1031" s="50">
        <v>3284</v>
      </c>
      <c r="B1031" s="51">
        <v>20000310012</v>
      </c>
      <c r="C1031" s="52" t="s">
        <v>3191</v>
      </c>
      <c r="D1031" s="52" t="s">
        <v>1573</v>
      </c>
      <c r="E1031" s="52" t="s">
        <v>3172</v>
      </c>
      <c r="F1031" s="52" t="s">
        <v>777</v>
      </c>
      <c r="G1031" s="52" t="s">
        <v>244</v>
      </c>
      <c r="H1031" s="52">
        <v>1</v>
      </c>
    </row>
    <row r="1032" spans="1:8" ht="14.4" x14ac:dyDescent="0.3">
      <c r="A1032" s="50">
        <v>3285</v>
      </c>
      <c r="B1032" s="51">
        <v>20009001103</v>
      </c>
      <c r="C1032" s="52" t="s">
        <v>3212</v>
      </c>
      <c r="D1032" s="52" t="s">
        <v>2410</v>
      </c>
      <c r="E1032" s="52" t="s">
        <v>1970</v>
      </c>
      <c r="F1032" s="52" t="s">
        <v>1056</v>
      </c>
      <c r="G1032" s="52" t="s">
        <v>213</v>
      </c>
      <c r="H1032" s="52">
        <v>1</v>
      </c>
    </row>
    <row r="1033" spans="1:8" ht="14.4" x14ac:dyDescent="0.3">
      <c r="A1033" s="50">
        <v>3286</v>
      </c>
      <c r="B1033" s="51">
        <v>20017050136</v>
      </c>
      <c r="C1033" s="52" t="s">
        <v>3192</v>
      </c>
      <c r="D1033" s="52" t="s">
        <v>2600</v>
      </c>
      <c r="E1033" s="52" t="s">
        <v>2858</v>
      </c>
      <c r="F1033" s="52" t="s">
        <v>1056</v>
      </c>
      <c r="G1033" s="52" t="s">
        <v>213</v>
      </c>
      <c r="H1033" s="52">
        <v>1</v>
      </c>
    </row>
    <row r="1034" spans="1:8" ht="14.4" x14ac:dyDescent="0.3">
      <c r="A1034" s="50">
        <v>3287</v>
      </c>
      <c r="B1034" s="51">
        <v>20001051038</v>
      </c>
      <c r="C1034" s="52" t="s">
        <v>3200</v>
      </c>
      <c r="D1034" s="52" t="s">
        <v>741</v>
      </c>
      <c r="E1034" s="52" t="s">
        <v>3140</v>
      </c>
      <c r="F1034" s="52" t="s">
        <v>656</v>
      </c>
      <c r="G1034" s="52" t="s">
        <v>213</v>
      </c>
      <c r="H1034" s="52">
        <v>1</v>
      </c>
    </row>
    <row r="1035" spans="1:8" ht="14.4" x14ac:dyDescent="0.3">
      <c r="A1035" s="50">
        <v>3288</v>
      </c>
      <c r="B1035" s="51">
        <v>20000330012</v>
      </c>
      <c r="C1035" s="52" t="s">
        <v>3213</v>
      </c>
      <c r="D1035" s="52" t="s">
        <v>3214</v>
      </c>
      <c r="E1035" s="52" t="s">
        <v>2930</v>
      </c>
      <c r="F1035" s="52" t="s">
        <v>777</v>
      </c>
      <c r="G1035" s="52" t="s">
        <v>244</v>
      </c>
      <c r="H1035" s="52">
        <v>1</v>
      </c>
    </row>
    <row r="1036" spans="1:8" ht="14.4" x14ac:dyDescent="0.3">
      <c r="A1036" s="36">
        <v>3289</v>
      </c>
      <c r="B1036" s="36">
        <v>20000330012</v>
      </c>
      <c r="C1036" s="36" t="s">
        <v>3215</v>
      </c>
      <c r="D1036" s="36" t="s">
        <v>3216</v>
      </c>
      <c r="E1036" s="36" t="s">
        <v>2930</v>
      </c>
      <c r="F1036" s="36" t="s">
        <v>777</v>
      </c>
      <c r="G1036" s="36" t="s">
        <v>244</v>
      </c>
      <c r="H1036" s="36">
        <v>1</v>
      </c>
    </row>
    <row r="1037" spans="1:8" ht="14.4" x14ac:dyDescent="0.3">
      <c r="A1037" s="50">
        <v>3290</v>
      </c>
      <c r="B1037" s="51">
        <v>20000310012</v>
      </c>
      <c r="C1037" s="52" t="s">
        <v>3217</v>
      </c>
      <c r="D1037" s="52" t="s">
        <v>1668</v>
      </c>
      <c r="E1037" s="52" t="s">
        <v>3172</v>
      </c>
      <c r="F1037" s="52" t="s">
        <v>777</v>
      </c>
      <c r="G1037" s="52" t="s">
        <v>213</v>
      </c>
      <c r="H1037" s="52">
        <v>1</v>
      </c>
    </row>
    <row r="1038" spans="1:8" ht="14.4" x14ac:dyDescent="0.3">
      <c r="A1038" s="50">
        <v>3291</v>
      </c>
      <c r="B1038" s="51">
        <v>20000570121</v>
      </c>
      <c r="C1038" s="52" t="s">
        <v>3233</v>
      </c>
      <c r="D1038" s="52" t="s">
        <v>3234</v>
      </c>
      <c r="E1038" s="52" t="s">
        <v>3218</v>
      </c>
      <c r="F1038" s="52" t="s">
        <v>656</v>
      </c>
      <c r="G1038" s="52" t="s">
        <v>213</v>
      </c>
      <c r="H1038" s="52">
        <v>1</v>
      </c>
    </row>
    <row r="1039" spans="1:8" ht="14.4" x14ac:dyDescent="0.3">
      <c r="A1039" s="50">
        <v>3292</v>
      </c>
      <c r="B1039" s="51">
        <v>20009001103</v>
      </c>
      <c r="C1039" s="52" t="s">
        <v>3245</v>
      </c>
      <c r="D1039" s="52" t="s">
        <v>672</v>
      </c>
      <c r="E1039" s="52" t="s">
        <v>1970</v>
      </c>
      <c r="F1039" s="52" t="s">
        <v>1056</v>
      </c>
      <c r="G1039" s="52" t="s">
        <v>213</v>
      </c>
      <c r="H1039" s="52">
        <v>1</v>
      </c>
    </row>
    <row r="1040" spans="1:8" ht="14.4" x14ac:dyDescent="0.3">
      <c r="A1040" s="50">
        <v>3293</v>
      </c>
      <c r="B1040" s="51">
        <v>20000570121</v>
      </c>
      <c r="C1040" s="52" t="s">
        <v>3235</v>
      </c>
      <c r="D1040" s="52" t="s">
        <v>3236</v>
      </c>
      <c r="E1040" s="52" t="s">
        <v>1031</v>
      </c>
      <c r="F1040" s="52" t="s">
        <v>656</v>
      </c>
      <c r="G1040" s="52" t="s">
        <v>244</v>
      </c>
      <c r="H1040" s="52">
        <v>1</v>
      </c>
    </row>
    <row r="1041" spans="1:8" ht="14.4" x14ac:dyDescent="0.3">
      <c r="A1041" s="50">
        <v>3294</v>
      </c>
      <c r="B1041" s="51">
        <v>20009001103</v>
      </c>
      <c r="C1041" s="52" t="s">
        <v>3237</v>
      </c>
      <c r="D1041" s="52" t="s">
        <v>1139</v>
      </c>
      <c r="E1041" s="52" t="s">
        <v>1970</v>
      </c>
      <c r="F1041" s="52" t="s">
        <v>1056</v>
      </c>
      <c r="G1041" s="52" t="s">
        <v>213</v>
      </c>
      <c r="H1041" s="52">
        <v>1</v>
      </c>
    </row>
    <row r="1042" spans="1:8" ht="14.4" x14ac:dyDescent="0.3">
      <c r="A1042" s="50">
        <v>3295</v>
      </c>
      <c r="B1042" s="51">
        <v>20001102060</v>
      </c>
      <c r="C1042" s="52" t="s">
        <v>1870</v>
      </c>
      <c r="D1042" s="52" t="s">
        <v>774</v>
      </c>
      <c r="E1042" s="52" t="s">
        <v>2237</v>
      </c>
      <c r="F1042" s="52" t="s">
        <v>1428</v>
      </c>
      <c r="G1042" s="52" t="s">
        <v>213</v>
      </c>
      <c r="H1042" s="52">
        <v>1</v>
      </c>
    </row>
    <row r="1043" spans="1:8" ht="14.4" x14ac:dyDescent="0.3">
      <c r="A1043" s="36">
        <v>3297</v>
      </c>
      <c r="B1043" s="36">
        <v>20000330012</v>
      </c>
      <c r="C1043" s="36" t="s">
        <v>3246</v>
      </c>
      <c r="D1043" s="36" t="s">
        <v>1282</v>
      </c>
      <c r="E1043" s="36" t="s">
        <v>2930</v>
      </c>
      <c r="F1043" s="36" t="s">
        <v>777</v>
      </c>
      <c r="G1043" s="36" t="s">
        <v>244</v>
      </c>
      <c r="H1043" s="36">
        <v>1</v>
      </c>
    </row>
    <row r="1044" spans="1:8" ht="14.4" x14ac:dyDescent="0.3">
      <c r="A1044" s="50">
        <v>3298</v>
      </c>
      <c r="B1044" s="51">
        <v>20001051046</v>
      </c>
      <c r="C1044" s="52" t="s">
        <v>3267</v>
      </c>
      <c r="D1044" s="52" t="s">
        <v>702</v>
      </c>
      <c r="E1044" s="52" t="s">
        <v>1326</v>
      </c>
      <c r="F1044" s="52" t="s">
        <v>775</v>
      </c>
      <c r="G1044" s="52" t="s">
        <v>213</v>
      </c>
      <c r="H1044" s="52">
        <v>1</v>
      </c>
    </row>
    <row r="1045" spans="1:8" ht="14.4" x14ac:dyDescent="0.3">
      <c r="A1045" s="50">
        <v>3299</v>
      </c>
      <c r="B1045" s="51">
        <v>20001051038</v>
      </c>
      <c r="C1045" s="52" t="s">
        <v>3268</v>
      </c>
      <c r="D1045" s="52" t="s">
        <v>3269</v>
      </c>
      <c r="E1045" s="52" t="s">
        <v>1326</v>
      </c>
      <c r="F1045" s="52" t="s">
        <v>656</v>
      </c>
      <c r="G1045" s="52" t="s">
        <v>244</v>
      </c>
      <c r="H1045" s="52">
        <v>1</v>
      </c>
    </row>
    <row r="1046" spans="1:8" ht="14.4" x14ac:dyDescent="0.3">
      <c r="A1046" s="36">
        <v>3300</v>
      </c>
      <c r="B1046" s="36">
        <v>20009001105</v>
      </c>
      <c r="C1046" s="36" t="s">
        <v>3270</v>
      </c>
      <c r="D1046" s="36" t="s">
        <v>746</v>
      </c>
      <c r="E1046" s="36" t="s">
        <v>1988</v>
      </c>
      <c r="F1046" s="36" t="s">
        <v>1410</v>
      </c>
      <c r="G1046" s="36" t="s">
        <v>244</v>
      </c>
      <c r="H1046" s="36">
        <v>1</v>
      </c>
    </row>
    <row r="1047" spans="1:8" ht="14.4" x14ac:dyDescent="0.3">
      <c r="A1047" s="50">
        <v>3301</v>
      </c>
      <c r="B1047" s="51">
        <v>20000330012</v>
      </c>
      <c r="C1047" s="52" t="s">
        <v>2743</v>
      </c>
      <c r="D1047" s="52" t="s">
        <v>3286</v>
      </c>
      <c r="E1047" s="52" t="s">
        <v>2930</v>
      </c>
      <c r="F1047" s="52" t="s">
        <v>777</v>
      </c>
      <c r="G1047" s="52" t="s">
        <v>244</v>
      </c>
      <c r="H1047" s="52">
        <v>1</v>
      </c>
    </row>
    <row r="1048" spans="1:8" ht="14.4" x14ac:dyDescent="0.3">
      <c r="A1048" s="50">
        <v>3302</v>
      </c>
      <c r="B1048" s="51">
        <v>20001051042</v>
      </c>
      <c r="C1048" s="52" t="s">
        <v>3287</v>
      </c>
      <c r="D1048" s="52" t="s">
        <v>1356</v>
      </c>
      <c r="E1048" s="52" t="s">
        <v>3603</v>
      </c>
      <c r="F1048" s="52" t="s">
        <v>1056</v>
      </c>
      <c r="G1048" s="52" t="s">
        <v>213</v>
      </c>
      <c r="H1048" s="52">
        <v>1</v>
      </c>
    </row>
    <row r="1049" spans="1:8" ht="14.4" x14ac:dyDescent="0.3">
      <c r="A1049" s="50">
        <v>3303</v>
      </c>
      <c r="B1049" s="51">
        <v>20001102060</v>
      </c>
      <c r="C1049" s="52" t="s">
        <v>1999</v>
      </c>
      <c r="D1049" s="52" t="s">
        <v>1750</v>
      </c>
      <c r="E1049" s="52" t="s">
        <v>1031</v>
      </c>
      <c r="F1049" s="52" t="s">
        <v>1428</v>
      </c>
      <c r="G1049" s="52" t="s">
        <v>244</v>
      </c>
      <c r="H1049" s="52">
        <v>1</v>
      </c>
    </row>
    <row r="1050" spans="1:8" ht="14.4" x14ac:dyDescent="0.3">
      <c r="A1050" s="50">
        <v>3304</v>
      </c>
      <c r="B1050" s="51">
        <v>20000330012</v>
      </c>
      <c r="C1050" s="52" t="s">
        <v>3310</v>
      </c>
      <c r="D1050" s="52" t="s">
        <v>3311</v>
      </c>
      <c r="E1050" s="52" t="s">
        <v>2930</v>
      </c>
      <c r="F1050" s="52" t="s">
        <v>777</v>
      </c>
      <c r="G1050" s="52" t="s">
        <v>244</v>
      </c>
      <c r="H1050" s="52">
        <v>1</v>
      </c>
    </row>
    <row r="1051" spans="1:8" ht="14.4" x14ac:dyDescent="0.3">
      <c r="A1051" s="50">
        <v>3305</v>
      </c>
      <c r="B1051" s="51">
        <v>20001051042</v>
      </c>
      <c r="C1051" s="52" t="s">
        <v>3312</v>
      </c>
      <c r="D1051" s="52" t="s">
        <v>3313</v>
      </c>
      <c r="E1051" s="52" t="s">
        <v>1326</v>
      </c>
      <c r="F1051" s="52" t="s">
        <v>1056</v>
      </c>
      <c r="G1051" s="52" t="s">
        <v>213</v>
      </c>
      <c r="H1051" s="52">
        <v>1</v>
      </c>
    </row>
    <row r="1052" spans="1:8" ht="14.4" x14ac:dyDescent="0.3">
      <c r="A1052" s="50">
        <v>3306</v>
      </c>
      <c r="B1052" s="51">
        <v>20009001102</v>
      </c>
      <c r="C1052" s="52" t="s">
        <v>3314</v>
      </c>
      <c r="D1052" s="52" t="s">
        <v>844</v>
      </c>
      <c r="E1052" s="52" t="s">
        <v>1967</v>
      </c>
      <c r="F1052" s="52" t="s">
        <v>656</v>
      </c>
      <c r="G1052" s="52" t="s">
        <v>213</v>
      </c>
      <c r="H1052" s="52">
        <v>1</v>
      </c>
    </row>
    <row r="1053" spans="1:8" ht="14.4" x14ac:dyDescent="0.3">
      <c r="A1053" s="50">
        <v>3307</v>
      </c>
      <c r="B1053" s="51">
        <v>20000310012</v>
      </c>
      <c r="C1053" s="52" t="s">
        <v>3315</v>
      </c>
      <c r="D1053" s="52" t="s">
        <v>1974</v>
      </c>
      <c r="E1053" s="52" t="s">
        <v>2929</v>
      </c>
      <c r="F1053" s="52" t="s">
        <v>777</v>
      </c>
      <c r="G1053" s="52" t="s">
        <v>244</v>
      </c>
      <c r="H1053" s="52">
        <v>1</v>
      </c>
    </row>
    <row r="1054" spans="1:8" ht="14.4" x14ac:dyDescent="0.3">
      <c r="A1054" s="36">
        <v>3308</v>
      </c>
      <c r="B1054" s="36">
        <v>20000310010</v>
      </c>
      <c r="C1054" s="36" t="s">
        <v>1256</v>
      </c>
      <c r="D1054" s="36" t="s">
        <v>688</v>
      </c>
      <c r="E1054" s="36" t="s">
        <v>2922</v>
      </c>
      <c r="F1054" s="36" t="s">
        <v>664</v>
      </c>
      <c r="G1054" s="36" t="s">
        <v>213</v>
      </c>
      <c r="H1054" s="36">
        <v>1</v>
      </c>
    </row>
    <row r="1055" spans="1:8" ht="14.4" x14ac:dyDescent="0.3">
      <c r="A1055" s="36">
        <v>3309</v>
      </c>
      <c r="B1055" s="36">
        <v>20009001102</v>
      </c>
      <c r="C1055" s="36" t="s">
        <v>3316</v>
      </c>
      <c r="D1055" s="36" t="s">
        <v>1557</v>
      </c>
      <c r="E1055" s="36" t="s">
        <v>1970</v>
      </c>
      <c r="F1055" s="36" t="s">
        <v>656</v>
      </c>
      <c r="G1055" s="36" t="s">
        <v>213</v>
      </c>
      <c r="H1055" s="36">
        <v>1</v>
      </c>
    </row>
    <row r="1056" spans="1:8" ht="14.4" x14ac:dyDescent="0.3">
      <c r="A1056" s="50">
        <v>3310</v>
      </c>
      <c r="B1056" s="51">
        <v>20000330012</v>
      </c>
      <c r="C1056" s="52" t="s">
        <v>3339</v>
      </c>
      <c r="D1056" s="52" t="s">
        <v>1668</v>
      </c>
      <c r="E1056" s="52" t="s">
        <v>2930</v>
      </c>
      <c r="F1056" s="52" t="s">
        <v>777</v>
      </c>
      <c r="G1056" s="52" t="s">
        <v>244</v>
      </c>
      <c r="H1056" s="52">
        <v>1</v>
      </c>
    </row>
    <row r="1057" spans="1:8" ht="14.4" x14ac:dyDescent="0.3">
      <c r="A1057" s="50">
        <v>3311</v>
      </c>
      <c r="B1057" s="51">
        <v>20009001101</v>
      </c>
      <c r="C1057" s="52" t="s">
        <v>3360</v>
      </c>
      <c r="D1057" s="52" t="s">
        <v>3340</v>
      </c>
      <c r="E1057" s="52" t="s">
        <v>1970</v>
      </c>
      <c r="F1057" s="52" t="s">
        <v>1327</v>
      </c>
      <c r="G1057" s="52" t="s">
        <v>244</v>
      </c>
      <c r="H1057" s="52">
        <v>1</v>
      </c>
    </row>
    <row r="1058" spans="1:8" ht="14.4" x14ac:dyDescent="0.3">
      <c r="A1058" s="50">
        <v>3312</v>
      </c>
      <c r="B1058" s="51">
        <v>20000330012</v>
      </c>
      <c r="C1058" s="52" t="s">
        <v>3341</v>
      </c>
      <c r="D1058" s="52" t="s">
        <v>3342</v>
      </c>
      <c r="E1058" s="52" t="s">
        <v>3209</v>
      </c>
      <c r="F1058" s="52" t="s">
        <v>777</v>
      </c>
      <c r="G1058" s="52" t="s">
        <v>213</v>
      </c>
      <c r="H1058" s="52">
        <v>1</v>
      </c>
    </row>
    <row r="1059" spans="1:8" ht="14.4" x14ac:dyDescent="0.3">
      <c r="A1059" s="50">
        <v>3313</v>
      </c>
      <c r="B1059" s="51">
        <v>20000310012</v>
      </c>
      <c r="C1059" s="52" t="s">
        <v>3343</v>
      </c>
      <c r="D1059" s="52" t="s">
        <v>3361</v>
      </c>
      <c r="E1059" s="52" t="s">
        <v>3344</v>
      </c>
      <c r="F1059" s="52" t="s">
        <v>777</v>
      </c>
      <c r="G1059" s="52" t="s">
        <v>244</v>
      </c>
      <c r="H1059" s="52">
        <v>1</v>
      </c>
    </row>
    <row r="1060" spans="1:8" ht="14.4" x14ac:dyDescent="0.3">
      <c r="A1060" s="50">
        <v>3314</v>
      </c>
      <c r="B1060" s="51">
        <v>20000340012</v>
      </c>
      <c r="C1060" s="52" t="s">
        <v>941</v>
      </c>
      <c r="D1060" s="52" t="s">
        <v>3216</v>
      </c>
      <c r="E1060" s="52" t="s">
        <v>3504</v>
      </c>
      <c r="F1060" s="52" t="s">
        <v>777</v>
      </c>
      <c r="G1060" s="52" t="s">
        <v>213</v>
      </c>
      <c r="H1060" s="52">
        <v>1</v>
      </c>
    </row>
    <row r="1061" spans="1:8" ht="14.4" x14ac:dyDescent="0.3">
      <c r="A1061" s="50">
        <v>3315</v>
      </c>
      <c r="B1061" s="51">
        <v>20000310012</v>
      </c>
      <c r="C1061" s="52" t="s">
        <v>3362</v>
      </c>
      <c r="D1061" s="52" t="s">
        <v>3363</v>
      </c>
      <c r="E1061" s="52" t="s">
        <v>3344</v>
      </c>
      <c r="F1061" s="52" t="s">
        <v>777</v>
      </c>
      <c r="G1061" s="52" t="s">
        <v>213</v>
      </c>
      <c r="H1061" s="52">
        <v>1</v>
      </c>
    </row>
    <row r="1062" spans="1:8" ht="14.4" x14ac:dyDescent="0.3">
      <c r="A1062" s="50">
        <v>3316</v>
      </c>
      <c r="B1062" s="51">
        <v>20000330012</v>
      </c>
      <c r="C1062" s="52" t="s">
        <v>3458</v>
      </c>
      <c r="D1062" s="52" t="s">
        <v>3459</v>
      </c>
      <c r="E1062" s="52" t="s">
        <v>2930</v>
      </c>
      <c r="F1062" s="52" t="s">
        <v>777</v>
      </c>
      <c r="G1062" s="52" t="s">
        <v>244</v>
      </c>
      <c r="H1062" s="52">
        <v>1</v>
      </c>
    </row>
    <row r="1063" spans="1:8" ht="14.4" x14ac:dyDescent="0.3">
      <c r="A1063" s="50">
        <v>3317</v>
      </c>
      <c r="B1063" s="51">
        <v>20001051038</v>
      </c>
      <c r="C1063" s="52" t="s">
        <v>3460</v>
      </c>
      <c r="D1063" s="52" t="s">
        <v>3461</v>
      </c>
      <c r="E1063" s="52" t="s">
        <v>1326</v>
      </c>
      <c r="F1063" s="52" t="s">
        <v>656</v>
      </c>
      <c r="G1063" s="52" t="s">
        <v>213</v>
      </c>
      <c r="H1063" s="52">
        <v>1</v>
      </c>
    </row>
    <row r="1064" spans="1:8" ht="14.4" x14ac:dyDescent="0.3">
      <c r="A1064" s="50">
        <v>3318</v>
      </c>
      <c r="B1064" s="51">
        <v>20009001102</v>
      </c>
      <c r="C1064" s="52" t="s">
        <v>3505</v>
      </c>
      <c r="D1064" s="52" t="s">
        <v>715</v>
      </c>
      <c r="E1064" s="52" t="s">
        <v>1970</v>
      </c>
      <c r="F1064" s="52" t="s">
        <v>656</v>
      </c>
      <c r="G1064" s="52" t="s">
        <v>213</v>
      </c>
      <c r="H1064" s="52">
        <v>1</v>
      </c>
    </row>
    <row r="1065" spans="1:8" ht="14.4" x14ac:dyDescent="0.3">
      <c r="A1065" s="50">
        <v>3319</v>
      </c>
      <c r="B1065" s="51">
        <v>20020051047</v>
      </c>
      <c r="C1065" s="52" t="s">
        <v>3506</v>
      </c>
      <c r="D1065" s="52" t="s">
        <v>3507</v>
      </c>
      <c r="E1065" s="52" t="s">
        <v>3508</v>
      </c>
      <c r="F1065" s="52" t="s">
        <v>775</v>
      </c>
      <c r="G1065" s="52" t="s">
        <v>213</v>
      </c>
      <c r="H1065" s="52">
        <v>1</v>
      </c>
    </row>
    <row r="1066" spans="1:8" ht="14.4" x14ac:dyDescent="0.3">
      <c r="A1066" s="50">
        <v>3320</v>
      </c>
      <c r="B1066" s="51">
        <v>20009001102</v>
      </c>
      <c r="C1066" s="52" t="s">
        <v>2786</v>
      </c>
      <c r="D1066" s="52" t="s">
        <v>1257</v>
      </c>
      <c r="E1066" s="52" t="s">
        <v>1993</v>
      </c>
      <c r="F1066" s="52" t="s">
        <v>656</v>
      </c>
      <c r="G1066" s="52" t="s">
        <v>213</v>
      </c>
      <c r="H1066" s="52">
        <v>1</v>
      </c>
    </row>
    <row r="1067" spans="1:8" ht="14.4" x14ac:dyDescent="0.3">
      <c r="A1067" s="50">
        <v>3321</v>
      </c>
      <c r="B1067" s="51">
        <v>20000330012</v>
      </c>
      <c r="C1067" s="52" t="s">
        <v>3509</v>
      </c>
      <c r="D1067" s="52" t="s">
        <v>3510</v>
      </c>
      <c r="E1067" s="52" t="s">
        <v>2930</v>
      </c>
      <c r="F1067" s="52" t="s">
        <v>777</v>
      </c>
      <c r="G1067" s="52" t="s">
        <v>213</v>
      </c>
      <c r="H1067" s="52">
        <v>1</v>
      </c>
    </row>
    <row r="1068" spans="1:8" ht="14.4" x14ac:dyDescent="0.3">
      <c r="A1068" s="36">
        <v>3322</v>
      </c>
      <c r="B1068" s="36">
        <v>20000330012</v>
      </c>
      <c r="C1068" s="36" t="s">
        <v>3511</v>
      </c>
      <c r="D1068" s="36" t="s">
        <v>1164</v>
      </c>
      <c r="E1068" s="36" t="s">
        <v>2930</v>
      </c>
      <c r="F1068" s="36" t="s">
        <v>777</v>
      </c>
      <c r="G1068" s="36" t="s">
        <v>213</v>
      </c>
      <c r="H1068" s="36">
        <v>1</v>
      </c>
    </row>
    <row r="1069" spans="1:8" ht="14.4" x14ac:dyDescent="0.3">
      <c r="A1069" s="50">
        <v>3323</v>
      </c>
      <c r="B1069" s="51">
        <v>20000310012</v>
      </c>
      <c r="C1069" s="52" t="s">
        <v>3512</v>
      </c>
      <c r="D1069" s="52" t="s">
        <v>2173</v>
      </c>
      <c r="E1069" s="52" t="s">
        <v>2929</v>
      </c>
      <c r="F1069" s="52" t="s">
        <v>777</v>
      </c>
      <c r="G1069" s="52" t="s">
        <v>213</v>
      </c>
      <c r="H1069" s="52">
        <v>1</v>
      </c>
    </row>
    <row r="1070" spans="1:8" ht="14.4" x14ac:dyDescent="0.3">
      <c r="A1070" s="50">
        <v>3324</v>
      </c>
      <c r="B1070" s="51">
        <v>20009001104</v>
      </c>
      <c r="C1070" s="52" t="s">
        <v>2060</v>
      </c>
      <c r="D1070" s="52" t="s">
        <v>3513</v>
      </c>
      <c r="E1070" s="52" t="s">
        <v>2677</v>
      </c>
      <c r="F1070" s="52" t="s">
        <v>775</v>
      </c>
      <c r="G1070" s="52" t="s">
        <v>213</v>
      </c>
      <c r="H1070" s="52">
        <v>1</v>
      </c>
    </row>
    <row r="1071" spans="1:8" ht="14.4" x14ac:dyDescent="0.3">
      <c r="A1071" s="50">
        <v>3325</v>
      </c>
      <c r="B1071" s="51">
        <v>20009001105</v>
      </c>
      <c r="C1071" s="52" t="s">
        <v>3514</v>
      </c>
      <c r="D1071" s="52" t="s">
        <v>818</v>
      </c>
      <c r="E1071" s="52" t="s">
        <v>1970</v>
      </c>
      <c r="F1071" s="52" t="s">
        <v>1410</v>
      </c>
      <c r="G1071" s="52" t="s">
        <v>213</v>
      </c>
      <c r="H1071" s="52">
        <v>1</v>
      </c>
    </row>
    <row r="1072" spans="1:8" ht="14.4" x14ac:dyDescent="0.3">
      <c r="A1072" s="36">
        <v>3326</v>
      </c>
      <c r="B1072" s="36">
        <v>20001101037</v>
      </c>
      <c r="C1072" s="36" t="s">
        <v>3530</v>
      </c>
      <c r="D1072" s="36" t="s">
        <v>1485</v>
      </c>
      <c r="E1072" s="36" t="s">
        <v>1724</v>
      </c>
      <c r="F1072" s="36" t="s">
        <v>1327</v>
      </c>
      <c r="G1072" s="36" t="s">
        <v>244</v>
      </c>
      <c r="H1072" s="36">
        <v>1</v>
      </c>
    </row>
    <row r="1073" spans="1:8" ht="14.4" x14ac:dyDescent="0.3">
      <c r="A1073" s="50">
        <v>3327</v>
      </c>
      <c r="B1073" s="51">
        <v>20009001101</v>
      </c>
      <c r="C1073" s="52" t="s">
        <v>2499</v>
      </c>
      <c r="D1073" s="52" t="s">
        <v>3531</v>
      </c>
      <c r="E1073" s="52" t="s">
        <v>1970</v>
      </c>
      <c r="F1073" s="52" t="s">
        <v>1327</v>
      </c>
      <c r="G1073" s="52" t="s">
        <v>244</v>
      </c>
      <c r="H1073" s="52">
        <v>1</v>
      </c>
    </row>
    <row r="1074" spans="1:8" ht="14.4" x14ac:dyDescent="0.3">
      <c r="A1074" s="50">
        <v>3328</v>
      </c>
      <c r="B1074" s="51">
        <v>20000310012</v>
      </c>
      <c r="C1074" s="52" t="s">
        <v>2428</v>
      </c>
      <c r="D1074" s="52" t="s">
        <v>3532</v>
      </c>
      <c r="E1074" s="52" t="s">
        <v>663</v>
      </c>
      <c r="F1074" s="52" t="s">
        <v>777</v>
      </c>
      <c r="G1074" s="52" t="s">
        <v>244</v>
      </c>
      <c r="H1074" s="52">
        <v>0.5</v>
      </c>
    </row>
    <row r="1075" spans="1:8" ht="14.4" x14ac:dyDescent="0.3">
      <c r="A1075" s="50">
        <v>3329</v>
      </c>
      <c r="B1075" s="51">
        <v>20000310012</v>
      </c>
      <c r="C1075" s="52" t="s">
        <v>3533</v>
      </c>
      <c r="D1075" s="52" t="s">
        <v>3534</v>
      </c>
      <c r="E1075" s="52" t="s">
        <v>2922</v>
      </c>
      <c r="F1075" s="52" t="s">
        <v>777</v>
      </c>
      <c r="G1075" s="52" t="s">
        <v>244</v>
      </c>
      <c r="H1075" s="52">
        <v>1</v>
      </c>
    </row>
    <row r="1076" spans="1:8" ht="14.4" x14ac:dyDescent="0.3">
      <c r="A1076" s="50">
        <v>3330</v>
      </c>
      <c r="B1076" s="51">
        <v>20000330012</v>
      </c>
      <c r="C1076" s="52" t="s">
        <v>3568</v>
      </c>
      <c r="D1076" s="52" t="s">
        <v>3569</v>
      </c>
      <c r="E1076" s="52" t="s">
        <v>2856</v>
      </c>
      <c r="F1076" s="52" t="s">
        <v>777</v>
      </c>
      <c r="G1076" s="52" t="s">
        <v>213</v>
      </c>
      <c r="H1076" s="52">
        <v>1</v>
      </c>
    </row>
    <row r="1077" spans="1:8" ht="14.4" x14ac:dyDescent="0.3">
      <c r="A1077" s="50">
        <v>3331</v>
      </c>
      <c r="B1077" s="51">
        <v>20001051046</v>
      </c>
      <c r="C1077" s="52" t="s">
        <v>3570</v>
      </c>
      <c r="D1077" s="52" t="s">
        <v>3571</v>
      </c>
      <c r="E1077" s="52" t="s">
        <v>1326</v>
      </c>
      <c r="F1077" s="52" t="s">
        <v>775</v>
      </c>
      <c r="G1077" s="52" t="s">
        <v>213</v>
      </c>
      <c r="H1077" s="52">
        <v>1</v>
      </c>
    </row>
    <row r="1078" spans="1:8" ht="14.4" x14ac:dyDescent="0.3">
      <c r="A1078" s="50">
        <v>3332</v>
      </c>
      <c r="B1078" s="51">
        <v>20009001103</v>
      </c>
      <c r="C1078" s="52" t="s">
        <v>3572</v>
      </c>
      <c r="D1078" s="52" t="s">
        <v>636</v>
      </c>
      <c r="E1078" s="52" t="s">
        <v>1993</v>
      </c>
      <c r="F1078" s="52" t="s">
        <v>1056</v>
      </c>
      <c r="G1078" s="52" t="s">
        <v>213</v>
      </c>
      <c r="H1078" s="52">
        <v>1</v>
      </c>
    </row>
    <row r="1079" spans="1:8" ht="14.4" x14ac:dyDescent="0.3">
      <c r="A1079" s="50">
        <v>3333</v>
      </c>
      <c r="B1079" s="51">
        <v>20000570121</v>
      </c>
      <c r="C1079" s="52" t="s">
        <v>3573</v>
      </c>
      <c r="D1079" s="52" t="s">
        <v>3574</v>
      </c>
      <c r="E1079" s="52" t="s">
        <v>1031</v>
      </c>
      <c r="F1079" s="52" t="s">
        <v>656</v>
      </c>
      <c r="G1079" s="52" t="s">
        <v>244</v>
      </c>
      <c r="H1079" s="52">
        <v>1</v>
      </c>
    </row>
    <row r="1080" spans="1:8" ht="14.4" x14ac:dyDescent="0.3">
      <c r="A1080" s="36">
        <v>3334</v>
      </c>
      <c r="B1080" s="36">
        <v>20001050152</v>
      </c>
      <c r="C1080" s="36" t="s">
        <v>3575</v>
      </c>
      <c r="D1080" s="36" t="s">
        <v>1789</v>
      </c>
      <c r="E1080" s="36" t="s">
        <v>3576</v>
      </c>
      <c r="F1080" s="36" t="s">
        <v>656</v>
      </c>
      <c r="G1080" s="36" t="s">
        <v>213</v>
      </c>
      <c r="H1080" s="36">
        <v>1</v>
      </c>
    </row>
    <row r="1081" spans="1:8" ht="14.4" x14ac:dyDescent="0.3">
      <c r="A1081" s="50">
        <v>3335</v>
      </c>
      <c r="B1081" s="51">
        <v>20017050135</v>
      </c>
      <c r="C1081" s="52" t="s">
        <v>3592</v>
      </c>
      <c r="D1081" s="52" t="s">
        <v>2147</v>
      </c>
      <c r="E1081" s="52" t="s">
        <v>2858</v>
      </c>
      <c r="F1081" s="52" t="s">
        <v>656</v>
      </c>
      <c r="G1081" s="52" t="s">
        <v>213</v>
      </c>
      <c r="H1081" s="52">
        <v>1</v>
      </c>
    </row>
    <row r="1082" spans="1:8" ht="14.4" x14ac:dyDescent="0.3">
      <c r="A1082" s="50">
        <v>3336</v>
      </c>
      <c r="B1082" s="51">
        <v>20021052102</v>
      </c>
      <c r="C1082" s="52" t="s">
        <v>3617</v>
      </c>
      <c r="D1082" s="52" t="s">
        <v>2647</v>
      </c>
      <c r="E1082" s="52" t="s">
        <v>3618</v>
      </c>
      <c r="F1082" s="52" t="s">
        <v>656</v>
      </c>
      <c r="G1082" s="52" t="s">
        <v>213</v>
      </c>
      <c r="H1082" s="52">
        <v>1</v>
      </c>
    </row>
    <row r="1083" spans="1:8" ht="14.4" x14ac:dyDescent="0.3">
      <c r="A1083" s="36">
        <v>3337</v>
      </c>
      <c r="B1083" s="36">
        <v>20009001104</v>
      </c>
      <c r="C1083" s="36" t="s">
        <v>3235</v>
      </c>
      <c r="D1083" s="36" t="s">
        <v>748</v>
      </c>
      <c r="E1083" s="36" t="s">
        <v>1970</v>
      </c>
      <c r="F1083" s="36" t="s">
        <v>775</v>
      </c>
      <c r="G1083" s="36" t="s">
        <v>213</v>
      </c>
      <c r="H1083" s="36">
        <v>1</v>
      </c>
    </row>
    <row r="1084" spans="1:8" ht="14.4" x14ac:dyDescent="0.3">
      <c r="A1084" s="36">
        <v>3338</v>
      </c>
      <c r="B1084" s="36">
        <v>20009001104</v>
      </c>
      <c r="C1084" s="36" t="s">
        <v>3658</v>
      </c>
      <c r="D1084" s="36" t="s">
        <v>887</v>
      </c>
      <c r="E1084" s="36" t="s">
        <v>1970</v>
      </c>
      <c r="F1084" s="36" t="s">
        <v>775</v>
      </c>
      <c r="G1084" s="36" t="s">
        <v>213</v>
      </c>
      <c r="H1084" s="36">
        <v>1</v>
      </c>
    </row>
    <row r="1085" spans="1:8" ht="14.4" x14ac:dyDescent="0.3">
      <c r="A1085" s="50">
        <v>3339</v>
      </c>
      <c r="B1085" s="51">
        <v>20009001104</v>
      </c>
      <c r="C1085" s="52" t="s">
        <v>3678</v>
      </c>
      <c r="D1085" s="52" t="s">
        <v>715</v>
      </c>
      <c r="E1085" s="52" t="s">
        <v>3163</v>
      </c>
      <c r="F1085" s="52" t="s">
        <v>775</v>
      </c>
      <c r="G1085" s="52" t="s">
        <v>213</v>
      </c>
      <c r="H1085" s="52">
        <v>1</v>
      </c>
    </row>
    <row r="1086" spans="1:8" ht="14.4" x14ac:dyDescent="0.3">
      <c r="A1086" s="50">
        <v>3340</v>
      </c>
      <c r="B1086" s="51">
        <v>20001051038</v>
      </c>
      <c r="C1086" s="52" t="s">
        <v>2311</v>
      </c>
      <c r="D1086" s="52" t="s">
        <v>1265</v>
      </c>
      <c r="E1086" s="52" t="s">
        <v>1326</v>
      </c>
      <c r="F1086" s="52" t="s">
        <v>656</v>
      </c>
      <c r="G1086" s="52" t="s">
        <v>213</v>
      </c>
      <c r="H1086" s="52">
        <v>1</v>
      </c>
    </row>
    <row r="1087" spans="1:8" ht="14.4" x14ac:dyDescent="0.3">
      <c r="A1087" s="50">
        <v>3341</v>
      </c>
      <c r="B1087" s="51">
        <v>20009001105</v>
      </c>
      <c r="C1087" s="52" t="s">
        <v>3679</v>
      </c>
      <c r="D1087" s="52" t="s">
        <v>1164</v>
      </c>
      <c r="E1087" s="52" t="s">
        <v>1970</v>
      </c>
      <c r="F1087" s="52" t="s">
        <v>1410</v>
      </c>
      <c r="G1087" s="52" t="s">
        <v>213</v>
      </c>
      <c r="H1087" s="52">
        <v>1</v>
      </c>
    </row>
    <row r="1088" spans="1:8" ht="14.4" x14ac:dyDescent="0.3">
      <c r="A1088" s="36">
        <v>3342</v>
      </c>
      <c r="B1088" s="36">
        <v>20009001104</v>
      </c>
      <c r="C1088" s="36" t="s">
        <v>3690</v>
      </c>
      <c r="D1088" s="36" t="s">
        <v>3691</v>
      </c>
      <c r="E1088" s="36" t="s">
        <v>1970</v>
      </c>
      <c r="F1088" s="36" t="s">
        <v>775</v>
      </c>
      <c r="G1088" s="36" t="s">
        <v>213</v>
      </c>
      <c r="H1088" s="36">
        <v>1</v>
      </c>
    </row>
    <row r="1089" spans="1:8" ht="14.4" x14ac:dyDescent="0.3">
      <c r="A1089" s="50">
        <v>3343</v>
      </c>
      <c r="B1089" s="51">
        <v>20001051046</v>
      </c>
      <c r="C1089" s="52" t="s">
        <v>3709</v>
      </c>
      <c r="D1089" s="52" t="s">
        <v>3710</v>
      </c>
      <c r="E1089" s="52" t="s">
        <v>1326</v>
      </c>
      <c r="F1089" s="52" t="s">
        <v>775</v>
      </c>
      <c r="G1089" s="52" t="s">
        <v>213</v>
      </c>
      <c r="H1089" s="52">
        <v>1</v>
      </c>
    </row>
    <row r="1090" spans="1:8" ht="14.4" x14ac:dyDescent="0.3">
      <c r="A1090" s="50">
        <v>3344</v>
      </c>
      <c r="B1090" s="51">
        <v>20020111055</v>
      </c>
      <c r="C1090" s="52" t="s">
        <v>1103</v>
      </c>
      <c r="D1090" s="52" t="s">
        <v>635</v>
      </c>
      <c r="E1090" s="52" t="s">
        <v>2237</v>
      </c>
      <c r="F1090" s="52" t="s">
        <v>656</v>
      </c>
      <c r="G1090" s="52" t="s">
        <v>244</v>
      </c>
      <c r="H1090" s="52">
        <v>1</v>
      </c>
    </row>
    <row r="1091" spans="1:8" ht="14.4" x14ac:dyDescent="0.3">
      <c r="A1091" s="50">
        <v>3345</v>
      </c>
      <c r="B1091" s="51">
        <v>20009001102</v>
      </c>
      <c r="C1091" s="52" t="s">
        <v>2272</v>
      </c>
      <c r="D1091" s="52" t="s">
        <v>719</v>
      </c>
      <c r="E1091" s="52" t="s">
        <v>1993</v>
      </c>
      <c r="F1091" s="52" t="s">
        <v>656</v>
      </c>
      <c r="G1091" s="52" t="s">
        <v>213</v>
      </c>
      <c r="H1091" s="52">
        <v>1</v>
      </c>
    </row>
    <row r="1092" spans="1:8" ht="14.4" x14ac:dyDescent="0.3">
      <c r="A1092" s="50">
        <v>3346</v>
      </c>
      <c r="B1092" s="51">
        <v>20001051038</v>
      </c>
      <c r="C1092" s="52" t="s">
        <v>3718</v>
      </c>
      <c r="D1092" s="52" t="s">
        <v>945</v>
      </c>
      <c r="E1092" s="52" t="s">
        <v>1326</v>
      </c>
      <c r="F1092" s="52" t="s">
        <v>656</v>
      </c>
      <c r="G1092" s="52" t="s">
        <v>213</v>
      </c>
      <c r="H1092" s="52">
        <v>1</v>
      </c>
    </row>
    <row r="1093" spans="1:8" ht="14.4" x14ac:dyDescent="0.3">
      <c r="A1093" s="50">
        <v>3347</v>
      </c>
      <c r="B1093" s="51">
        <v>20009001105</v>
      </c>
      <c r="C1093" s="52" t="s">
        <v>896</v>
      </c>
      <c r="D1093" s="52" t="s">
        <v>1559</v>
      </c>
      <c r="E1093" s="52" t="s">
        <v>1988</v>
      </c>
      <c r="F1093" s="52" t="s">
        <v>1410</v>
      </c>
      <c r="G1093" s="52" t="s">
        <v>213</v>
      </c>
      <c r="H1093" s="52">
        <v>1</v>
      </c>
    </row>
    <row r="1094" spans="1:8" ht="14.4" x14ac:dyDescent="0.3">
      <c r="A1094" s="50">
        <v>3348</v>
      </c>
      <c r="B1094" s="51">
        <v>20009001103</v>
      </c>
      <c r="C1094" s="52" t="s">
        <v>3759</v>
      </c>
      <c r="D1094" s="52" t="s">
        <v>3115</v>
      </c>
      <c r="E1094" s="52" t="s">
        <v>2677</v>
      </c>
      <c r="F1094" s="52" t="s">
        <v>1056</v>
      </c>
      <c r="G1094" s="52" t="s">
        <v>213</v>
      </c>
      <c r="H1094" s="52">
        <v>1</v>
      </c>
    </row>
    <row r="1095" spans="1:8" ht="14.4" x14ac:dyDescent="0.3">
      <c r="A1095" s="50">
        <v>3349</v>
      </c>
      <c r="B1095" s="51">
        <v>20000310012</v>
      </c>
      <c r="C1095" s="52" t="s">
        <v>3757</v>
      </c>
      <c r="D1095" s="52" t="s">
        <v>3758</v>
      </c>
      <c r="E1095" s="52" t="s">
        <v>2929</v>
      </c>
      <c r="F1095" s="52" t="s">
        <v>777</v>
      </c>
      <c r="G1095" s="52" t="s">
        <v>244</v>
      </c>
      <c r="H1095" s="52">
        <v>1</v>
      </c>
    </row>
    <row r="1096" spans="1:8" ht="14.4" x14ac:dyDescent="0.3">
      <c r="A1096" s="50">
        <v>3350</v>
      </c>
      <c r="B1096" s="51">
        <v>20001051038</v>
      </c>
      <c r="C1096" s="52" t="s">
        <v>696</v>
      </c>
      <c r="D1096" s="52" t="s">
        <v>733</v>
      </c>
      <c r="E1096" s="52" t="s">
        <v>3140</v>
      </c>
      <c r="F1096" s="52" t="s">
        <v>656</v>
      </c>
      <c r="G1096" s="52" t="s">
        <v>213</v>
      </c>
      <c r="H1096" s="52">
        <v>1</v>
      </c>
    </row>
    <row r="1097" spans="1:8" ht="14.4" x14ac:dyDescent="0.3">
      <c r="A1097" s="50">
        <v>3351</v>
      </c>
      <c r="B1097" s="51">
        <v>20020091040</v>
      </c>
      <c r="C1097" s="52" t="s">
        <v>3795</v>
      </c>
      <c r="D1097" s="52" t="s">
        <v>1647</v>
      </c>
      <c r="E1097" s="52" t="s">
        <v>2237</v>
      </c>
      <c r="F1097" s="52" t="s">
        <v>656</v>
      </c>
      <c r="G1097" s="52" t="s">
        <v>213</v>
      </c>
      <c r="H1097" s="52">
        <v>1</v>
      </c>
    </row>
    <row r="1098" spans="1:8" ht="14.4" x14ac:dyDescent="0.3">
      <c r="A1098" s="50">
        <v>3352</v>
      </c>
      <c r="B1098" s="51">
        <v>20001051042</v>
      </c>
      <c r="C1098" s="52" t="s">
        <v>3796</v>
      </c>
      <c r="D1098" s="52" t="s">
        <v>1397</v>
      </c>
      <c r="E1098" s="52" t="s">
        <v>1326</v>
      </c>
      <c r="F1098" s="52" t="s">
        <v>1056</v>
      </c>
      <c r="G1098" s="52" t="s">
        <v>213</v>
      </c>
      <c r="H1098" s="52">
        <v>1</v>
      </c>
    </row>
    <row r="1099" spans="1:8" ht="14.4" x14ac:dyDescent="0.3">
      <c r="A1099" s="36">
        <v>3353</v>
      </c>
      <c r="B1099" s="36">
        <v>20001051042</v>
      </c>
      <c r="C1099" s="36" t="s">
        <v>1285</v>
      </c>
      <c r="D1099" s="36" t="s">
        <v>855</v>
      </c>
      <c r="E1099" s="36" t="s">
        <v>1326</v>
      </c>
      <c r="F1099" s="36" t="s">
        <v>1056</v>
      </c>
      <c r="G1099" s="36" t="s">
        <v>213</v>
      </c>
      <c r="H1099" s="36">
        <v>1</v>
      </c>
    </row>
    <row r="1100" spans="1:8" ht="14.4" x14ac:dyDescent="0.3">
      <c r="A1100" s="50">
        <v>3354</v>
      </c>
      <c r="B1100" s="51">
        <v>20001101056</v>
      </c>
      <c r="C1100" s="52" t="s">
        <v>3573</v>
      </c>
      <c r="D1100" s="52" t="s">
        <v>3797</v>
      </c>
      <c r="E1100" s="52" t="s">
        <v>1642</v>
      </c>
      <c r="F1100" s="52" t="s">
        <v>656</v>
      </c>
      <c r="G1100" s="52" t="s">
        <v>213</v>
      </c>
      <c r="H1100" s="52">
        <v>1</v>
      </c>
    </row>
    <row r="1101" spans="1:8" ht="14.4" x14ac:dyDescent="0.3">
      <c r="A1101" s="50">
        <v>3356</v>
      </c>
      <c r="B1101" s="51">
        <v>20009001101</v>
      </c>
      <c r="C1101" s="52" t="s">
        <v>2120</v>
      </c>
      <c r="D1101" s="52" t="s">
        <v>2410</v>
      </c>
      <c r="E1101" s="52" t="s">
        <v>1970</v>
      </c>
      <c r="F1101" s="52" t="s">
        <v>1327</v>
      </c>
      <c r="G1101" s="52" t="s">
        <v>213</v>
      </c>
      <c r="H1101" s="52">
        <v>1</v>
      </c>
    </row>
    <row r="1102" spans="1:8" ht="14.4" x14ac:dyDescent="0.3">
      <c r="A1102" s="50">
        <v>3357</v>
      </c>
      <c r="B1102" s="51">
        <v>20009001103</v>
      </c>
      <c r="C1102" s="52" t="s">
        <v>3828</v>
      </c>
      <c r="D1102" s="52" t="s">
        <v>3829</v>
      </c>
      <c r="E1102" s="52" t="s">
        <v>1993</v>
      </c>
      <c r="F1102" s="52" t="s">
        <v>1056</v>
      </c>
      <c r="G1102" s="52" t="s">
        <v>213</v>
      </c>
      <c r="H1102" s="52">
        <v>1</v>
      </c>
    </row>
    <row r="1103" spans="1:8" ht="14.4" x14ac:dyDescent="0.3">
      <c r="A1103" s="50">
        <v>3358</v>
      </c>
      <c r="B1103" s="51">
        <v>20009001103</v>
      </c>
      <c r="C1103" s="52" t="s">
        <v>3830</v>
      </c>
      <c r="D1103" s="52" t="s">
        <v>672</v>
      </c>
      <c r="E1103" s="52" t="s">
        <v>1970</v>
      </c>
      <c r="F1103" s="52" t="s">
        <v>1056</v>
      </c>
      <c r="G1103" s="52" t="s">
        <v>213</v>
      </c>
      <c r="H1103" s="52">
        <v>1</v>
      </c>
    </row>
    <row r="1104" spans="1:8" ht="14.4" x14ac:dyDescent="0.3">
      <c r="A1104" s="50">
        <v>3359</v>
      </c>
      <c r="B1104" s="51">
        <v>20020051039</v>
      </c>
      <c r="C1104" s="52" t="s">
        <v>3831</v>
      </c>
      <c r="D1104" s="52" t="s">
        <v>662</v>
      </c>
      <c r="E1104" s="52" t="s">
        <v>2209</v>
      </c>
      <c r="F1104" s="52" t="s">
        <v>656</v>
      </c>
      <c r="G1104" s="52" t="s">
        <v>213</v>
      </c>
      <c r="H1104" s="52">
        <v>1</v>
      </c>
    </row>
    <row r="1105" spans="1:8" ht="14.4" x14ac:dyDescent="0.3">
      <c r="A1105" s="36">
        <v>3360</v>
      </c>
      <c r="B1105" s="36">
        <v>20020051039</v>
      </c>
      <c r="C1105" s="36" t="s">
        <v>653</v>
      </c>
      <c r="D1105" s="36" t="s">
        <v>3832</v>
      </c>
      <c r="E1105" s="36" t="s">
        <v>3639</v>
      </c>
      <c r="F1105" s="36" t="s">
        <v>656</v>
      </c>
      <c r="G1105" s="36" t="s">
        <v>213</v>
      </c>
      <c r="H1105" s="36">
        <v>1</v>
      </c>
    </row>
    <row r="1106" spans="1:8" ht="14.4" x14ac:dyDescent="0.3">
      <c r="A1106" s="50">
        <v>3361</v>
      </c>
      <c r="B1106" s="51">
        <v>20000310012</v>
      </c>
      <c r="C1106" s="52" t="s">
        <v>3833</v>
      </c>
      <c r="D1106" s="52" t="s">
        <v>700</v>
      </c>
      <c r="E1106" s="52" t="s">
        <v>3616</v>
      </c>
      <c r="F1106" s="52" t="s">
        <v>777</v>
      </c>
      <c r="G1106" s="52" t="s">
        <v>213</v>
      </c>
      <c r="H1106" s="52">
        <v>1</v>
      </c>
    </row>
    <row r="1107" spans="1:8" ht="14.4" x14ac:dyDescent="0.3">
      <c r="A1107" s="50">
        <v>3362</v>
      </c>
      <c r="B1107" s="51">
        <v>20001101056</v>
      </c>
      <c r="C1107" s="52" t="s">
        <v>3834</v>
      </c>
      <c r="D1107" s="52" t="s">
        <v>3835</v>
      </c>
      <c r="E1107" s="52" t="s">
        <v>1745</v>
      </c>
      <c r="F1107" s="52" t="s">
        <v>656</v>
      </c>
      <c r="G1107" s="52" t="s">
        <v>213</v>
      </c>
      <c r="H1107" s="52">
        <v>1</v>
      </c>
    </row>
    <row r="1108" spans="1:8" ht="14.4" x14ac:dyDescent="0.3">
      <c r="A1108" s="50">
        <v>3363</v>
      </c>
      <c r="B1108" s="51">
        <v>20001102060</v>
      </c>
      <c r="C1108" s="52" t="s">
        <v>1699</v>
      </c>
      <c r="D1108" s="52" t="s">
        <v>1139</v>
      </c>
      <c r="E1108" s="52" t="s">
        <v>1031</v>
      </c>
      <c r="F1108" s="52" t="s">
        <v>1428</v>
      </c>
      <c r="G1108" s="52" t="s">
        <v>213</v>
      </c>
      <c r="H1108" s="52">
        <v>1</v>
      </c>
    </row>
    <row r="1109" spans="1:8" ht="14.4" x14ac:dyDescent="0.3">
      <c r="A1109" s="50">
        <v>3364</v>
      </c>
      <c r="B1109" s="51">
        <v>20001051046</v>
      </c>
      <c r="C1109" s="52" t="s">
        <v>3836</v>
      </c>
      <c r="D1109" s="52" t="s">
        <v>887</v>
      </c>
      <c r="E1109" s="52" t="s">
        <v>3837</v>
      </c>
      <c r="F1109" s="52" t="s">
        <v>775</v>
      </c>
      <c r="G1109" s="52" t="s">
        <v>213</v>
      </c>
      <c r="H1109" s="52">
        <v>1</v>
      </c>
    </row>
    <row r="1110" spans="1:8" ht="14.4" x14ac:dyDescent="0.3">
      <c r="A1110" s="50">
        <v>3366</v>
      </c>
      <c r="B1110" s="51">
        <v>20001051042</v>
      </c>
      <c r="C1110" s="52" t="s">
        <v>3866</v>
      </c>
      <c r="D1110" s="52" t="s">
        <v>3867</v>
      </c>
      <c r="E1110" s="52" t="s">
        <v>1326</v>
      </c>
      <c r="F1110" s="52" t="s">
        <v>1056</v>
      </c>
      <c r="G1110" s="52" t="s">
        <v>213</v>
      </c>
      <c r="H1110" s="52">
        <v>1</v>
      </c>
    </row>
    <row r="1111" spans="1:8" ht="14.4" x14ac:dyDescent="0.3">
      <c r="A1111" s="50">
        <v>3367</v>
      </c>
      <c r="B1111" s="51">
        <v>20001101049</v>
      </c>
      <c r="C1111" s="52" t="s">
        <v>3868</v>
      </c>
      <c r="D1111" s="52" t="s">
        <v>1071</v>
      </c>
      <c r="E1111" s="52" t="s">
        <v>1772</v>
      </c>
      <c r="F1111" s="52" t="s">
        <v>775</v>
      </c>
      <c r="G1111" s="52" t="s">
        <v>213</v>
      </c>
      <c r="H1111" s="52">
        <v>1</v>
      </c>
    </row>
    <row r="1112" spans="1:8" ht="14.4" x14ac:dyDescent="0.3">
      <c r="A1112" s="50">
        <v>4000</v>
      </c>
      <c r="B1112" s="51">
        <v>20001290018</v>
      </c>
      <c r="C1112" s="52" t="s">
        <v>1547</v>
      </c>
      <c r="D1112" s="52" t="s">
        <v>1457</v>
      </c>
      <c r="E1112" s="52" t="s">
        <v>3838</v>
      </c>
      <c r="F1112" s="52" t="s">
        <v>618</v>
      </c>
      <c r="G1112" s="52" t="s">
        <v>213</v>
      </c>
      <c r="H1112" s="52">
        <v>1</v>
      </c>
    </row>
    <row r="1113" spans="1:8" ht="14.4" x14ac:dyDescent="0.3">
      <c r="A1113" s="50">
        <v>4001</v>
      </c>
      <c r="B1113" s="51">
        <v>20001150127</v>
      </c>
      <c r="C1113" s="52" t="s">
        <v>2447</v>
      </c>
      <c r="D1113" s="52" t="s">
        <v>2448</v>
      </c>
      <c r="E1113" s="52" t="s">
        <v>1876</v>
      </c>
      <c r="F1113" s="52" t="s">
        <v>618</v>
      </c>
      <c r="G1113" s="52" t="s">
        <v>213</v>
      </c>
      <c r="H1113" s="52">
        <v>1</v>
      </c>
    </row>
    <row r="1114" spans="1:8" ht="14.4" x14ac:dyDescent="0.3">
      <c r="A1114" s="50">
        <v>4002</v>
      </c>
      <c r="B1114" s="51">
        <v>20017050140</v>
      </c>
      <c r="C1114" s="52" t="s">
        <v>1503</v>
      </c>
      <c r="D1114" s="52" t="s">
        <v>2449</v>
      </c>
      <c r="E1114" s="52" t="s">
        <v>2858</v>
      </c>
      <c r="F1114" s="52" t="s">
        <v>1441</v>
      </c>
      <c r="G1114" s="52" t="s">
        <v>213</v>
      </c>
      <c r="H1114" s="52">
        <v>1</v>
      </c>
    </row>
    <row r="1115" spans="1:8" ht="14.4" x14ac:dyDescent="0.3">
      <c r="A1115" s="50">
        <v>4004</v>
      </c>
      <c r="B1115" s="51">
        <v>20001104088</v>
      </c>
      <c r="C1115" s="52" t="s">
        <v>2450</v>
      </c>
      <c r="D1115" s="52" t="s">
        <v>1589</v>
      </c>
      <c r="E1115" s="52" t="s">
        <v>1377</v>
      </c>
      <c r="F1115" s="52" t="s">
        <v>620</v>
      </c>
      <c r="G1115" s="52" t="s">
        <v>244</v>
      </c>
      <c r="H1115" s="52">
        <v>1</v>
      </c>
    </row>
    <row r="1116" spans="1:8" ht="14.4" x14ac:dyDescent="0.3">
      <c r="A1116" s="50">
        <v>4005</v>
      </c>
      <c r="B1116" s="51">
        <v>20022001102</v>
      </c>
      <c r="C1116" s="52" t="s">
        <v>2451</v>
      </c>
      <c r="D1116" s="52" t="s">
        <v>2452</v>
      </c>
      <c r="E1116" s="52" t="s">
        <v>2100</v>
      </c>
      <c r="F1116" s="52" t="s">
        <v>628</v>
      </c>
      <c r="G1116" s="52" t="s">
        <v>213</v>
      </c>
      <c r="H1116" s="52">
        <v>1</v>
      </c>
    </row>
    <row r="1117" spans="1:8" ht="14.4" x14ac:dyDescent="0.3">
      <c r="A1117" s="50">
        <v>4007</v>
      </c>
      <c r="B1117" s="51">
        <v>20000310010</v>
      </c>
      <c r="C1117" s="52" t="s">
        <v>2479</v>
      </c>
      <c r="D1117" s="52" t="s">
        <v>1559</v>
      </c>
      <c r="E1117" s="52" t="s">
        <v>663</v>
      </c>
      <c r="F1117" s="52" t="s">
        <v>664</v>
      </c>
      <c r="G1117" s="52" t="s">
        <v>244</v>
      </c>
      <c r="H1117" s="52">
        <v>0.5</v>
      </c>
    </row>
    <row r="1118" spans="1:8" ht="14.4" x14ac:dyDescent="0.3">
      <c r="A1118" s="50">
        <v>4008</v>
      </c>
      <c r="B1118" s="51">
        <v>20009001112</v>
      </c>
      <c r="C1118" s="52" t="s">
        <v>844</v>
      </c>
      <c r="D1118" s="52" t="s">
        <v>901</v>
      </c>
      <c r="E1118" s="52" t="s">
        <v>1970</v>
      </c>
      <c r="F1118" s="52" t="s">
        <v>620</v>
      </c>
      <c r="G1118" s="52" t="s">
        <v>213</v>
      </c>
      <c r="H1118" s="52">
        <v>1</v>
      </c>
    </row>
    <row r="1119" spans="1:8" ht="14.4" x14ac:dyDescent="0.3">
      <c r="A1119" s="50">
        <v>4009</v>
      </c>
      <c r="B1119" s="51">
        <v>20000630026</v>
      </c>
      <c r="C1119" s="52" t="s">
        <v>2482</v>
      </c>
      <c r="D1119" s="52" t="s">
        <v>2483</v>
      </c>
      <c r="E1119" s="52" t="s">
        <v>1109</v>
      </c>
      <c r="F1119" s="52" t="s">
        <v>618</v>
      </c>
      <c r="G1119" s="52" t="s">
        <v>244</v>
      </c>
      <c r="H1119" s="52">
        <v>1</v>
      </c>
    </row>
    <row r="1120" spans="1:8" ht="14.4" x14ac:dyDescent="0.3">
      <c r="A1120" s="50">
        <v>4010</v>
      </c>
      <c r="B1120" s="51">
        <v>20000310010</v>
      </c>
      <c r="C1120" s="52" t="s">
        <v>1498</v>
      </c>
      <c r="D1120" s="52" t="s">
        <v>741</v>
      </c>
      <c r="E1120" s="52" t="s">
        <v>3602</v>
      </c>
      <c r="F1120" s="52" t="s">
        <v>664</v>
      </c>
      <c r="G1120" s="52" t="s">
        <v>213</v>
      </c>
      <c r="H1120" s="52">
        <v>1</v>
      </c>
    </row>
    <row r="1121" spans="1:8" ht="14.4" x14ac:dyDescent="0.3">
      <c r="A1121" s="50">
        <v>4011</v>
      </c>
      <c r="B1121" s="51">
        <v>20001102072</v>
      </c>
      <c r="C1121" s="52" t="s">
        <v>2490</v>
      </c>
      <c r="D1121" s="52" t="s">
        <v>1559</v>
      </c>
      <c r="E1121" s="52" t="s">
        <v>1631</v>
      </c>
      <c r="F1121" s="52" t="s">
        <v>1532</v>
      </c>
      <c r="G1121" s="52" t="s">
        <v>244</v>
      </c>
      <c r="H1121" s="52">
        <v>1</v>
      </c>
    </row>
    <row r="1122" spans="1:8" ht="14.4" x14ac:dyDescent="0.3">
      <c r="A1122" s="50">
        <v>4012</v>
      </c>
      <c r="B1122" s="51">
        <v>20001054112</v>
      </c>
      <c r="C1122" s="52" t="s">
        <v>2486</v>
      </c>
      <c r="D1122" s="52" t="s">
        <v>715</v>
      </c>
      <c r="E1122" s="52" t="s">
        <v>1622</v>
      </c>
      <c r="F1122" s="52" t="s">
        <v>628</v>
      </c>
      <c r="G1122" s="52" t="s">
        <v>244</v>
      </c>
      <c r="H1122" s="52">
        <v>1</v>
      </c>
    </row>
    <row r="1123" spans="1:8" ht="14.4" x14ac:dyDescent="0.3">
      <c r="A1123" s="50">
        <v>4014</v>
      </c>
      <c r="B1123" s="51">
        <v>20001052065</v>
      </c>
      <c r="C1123" s="52" t="s">
        <v>2484</v>
      </c>
      <c r="D1123" s="52" t="s">
        <v>2282</v>
      </c>
      <c r="E1123" s="52" t="s">
        <v>1326</v>
      </c>
      <c r="F1123" s="52" t="s">
        <v>628</v>
      </c>
      <c r="G1123" s="52" t="s">
        <v>244</v>
      </c>
      <c r="H1123" s="52">
        <v>1</v>
      </c>
    </row>
    <row r="1124" spans="1:8" ht="14.4" x14ac:dyDescent="0.3">
      <c r="A1124" s="50">
        <v>4015</v>
      </c>
      <c r="B1124" s="51">
        <v>20009001108</v>
      </c>
      <c r="C1124" s="52" t="s">
        <v>2054</v>
      </c>
      <c r="D1124" s="52" t="s">
        <v>1980</v>
      </c>
      <c r="E1124" s="52" t="s">
        <v>1993</v>
      </c>
      <c r="F1124" s="52" t="s">
        <v>628</v>
      </c>
      <c r="G1124" s="52" t="s">
        <v>213</v>
      </c>
      <c r="H1124" s="52">
        <v>1</v>
      </c>
    </row>
    <row r="1125" spans="1:8" ht="14.4" x14ac:dyDescent="0.3">
      <c r="A1125" s="50">
        <v>4017</v>
      </c>
      <c r="B1125" s="51">
        <v>20000360010</v>
      </c>
      <c r="C1125" s="52" t="s">
        <v>2534</v>
      </c>
      <c r="D1125" s="52" t="s">
        <v>668</v>
      </c>
      <c r="E1125" s="52" t="s">
        <v>955</v>
      </c>
      <c r="F1125" s="52" t="s">
        <v>664</v>
      </c>
      <c r="G1125" s="52" t="s">
        <v>213</v>
      </c>
      <c r="H1125" s="52">
        <v>1</v>
      </c>
    </row>
    <row r="1126" spans="1:8" ht="14.4" x14ac:dyDescent="0.3">
      <c r="A1126" s="50">
        <v>4019</v>
      </c>
      <c r="B1126" s="51">
        <v>20020052066</v>
      </c>
      <c r="C1126" s="52" t="s">
        <v>2535</v>
      </c>
      <c r="D1126" s="52" t="s">
        <v>2536</v>
      </c>
      <c r="E1126" s="52" t="s">
        <v>2209</v>
      </c>
      <c r="F1126" s="52" t="s">
        <v>628</v>
      </c>
      <c r="G1126" s="52" t="s">
        <v>244</v>
      </c>
      <c r="H1126" s="52">
        <v>1</v>
      </c>
    </row>
    <row r="1127" spans="1:8" ht="14.4" x14ac:dyDescent="0.3">
      <c r="A1127" s="50">
        <v>4020</v>
      </c>
      <c r="B1127" s="51">
        <v>20000310010</v>
      </c>
      <c r="C1127" s="52" t="s">
        <v>2537</v>
      </c>
      <c r="D1127" s="52" t="s">
        <v>2110</v>
      </c>
      <c r="E1127" s="52" t="s">
        <v>2922</v>
      </c>
      <c r="F1127" s="52" t="s">
        <v>664</v>
      </c>
      <c r="G1127" s="52" t="s">
        <v>213</v>
      </c>
      <c r="H1127" s="52">
        <v>1</v>
      </c>
    </row>
    <row r="1128" spans="1:8" ht="14.4" x14ac:dyDescent="0.3">
      <c r="A1128" s="50">
        <v>4021</v>
      </c>
      <c r="B1128" s="51">
        <v>20020114093</v>
      </c>
      <c r="C1128" s="52" t="s">
        <v>2057</v>
      </c>
      <c r="D1128" s="52" t="s">
        <v>2538</v>
      </c>
      <c r="E1128" s="52" t="s">
        <v>2237</v>
      </c>
      <c r="F1128" s="52" t="s">
        <v>620</v>
      </c>
      <c r="G1128" s="52" t="s">
        <v>244</v>
      </c>
      <c r="H1128" s="52">
        <v>1</v>
      </c>
    </row>
    <row r="1129" spans="1:8" ht="14.4" x14ac:dyDescent="0.3">
      <c r="A1129" s="50">
        <v>4022</v>
      </c>
      <c r="B1129" s="51">
        <v>20000310010</v>
      </c>
      <c r="C1129" s="52" t="s">
        <v>2571</v>
      </c>
      <c r="D1129" s="52" t="s">
        <v>868</v>
      </c>
      <c r="E1129" s="52" t="s">
        <v>663</v>
      </c>
      <c r="F1129" s="52" t="s">
        <v>664</v>
      </c>
      <c r="G1129" s="52" t="s">
        <v>244</v>
      </c>
      <c r="H1129" s="52">
        <v>0.5</v>
      </c>
    </row>
    <row r="1130" spans="1:8" ht="14.4" x14ac:dyDescent="0.3">
      <c r="A1130" s="50">
        <v>4023</v>
      </c>
      <c r="B1130" s="51">
        <v>20009001112</v>
      </c>
      <c r="C1130" s="52" t="s">
        <v>2572</v>
      </c>
      <c r="D1130" s="52" t="s">
        <v>1589</v>
      </c>
      <c r="E1130" s="52" t="s">
        <v>1993</v>
      </c>
      <c r="F1130" s="52" t="s">
        <v>620</v>
      </c>
      <c r="G1130" s="52" t="s">
        <v>244</v>
      </c>
      <c r="H1130" s="52">
        <v>1</v>
      </c>
    </row>
    <row r="1131" spans="1:8" ht="14.4" x14ac:dyDescent="0.3">
      <c r="A1131" s="50">
        <v>4025</v>
      </c>
      <c r="B1131" s="51">
        <v>20000570123</v>
      </c>
      <c r="C1131" s="52" t="s">
        <v>2597</v>
      </c>
      <c r="D1131" s="52" t="s">
        <v>2598</v>
      </c>
      <c r="E1131" s="52" t="s">
        <v>3218</v>
      </c>
      <c r="F1131" s="52" t="s">
        <v>620</v>
      </c>
      <c r="G1131" s="52" t="s">
        <v>213</v>
      </c>
      <c r="H1131" s="52">
        <v>1</v>
      </c>
    </row>
    <row r="1132" spans="1:8" ht="14.4" x14ac:dyDescent="0.3">
      <c r="A1132" s="50">
        <v>4026</v>
      </c>
      <c r="B1132" s="51">
        <v>20022001104</v>
      </c>
      <c r="C1132" s="52" t="s">
        <v>2678</v>
      </c>
      <c r="D1132" s="52" t="s">
        <v>2679</v>
      </c>
      <c r="E1132" s="52" t="s">
        <v>2100</v>
      </c>
      <c r="F1132" s="52" t="s">
        <v>620</v>
      </c>
      <c r="G1132" s="52" t="s">
        <v>244</v>
      </c>
      <c r="H1132" s="52">
        <v>1</v>
      </c>
    </row>
    <row r="1133" spans="1:8" ht="14.4" x14ac:dyDescent="0.3">
      <c r="A1133" s="50">
        <v>4027</v>
      </c>
      <c r="B1133" s="51">
        <v>20020114093</v>
      </c>
      <c r="C1133" s="52" t="s">
        <v>2599</v>
      </c>
      <c r="D1133" s="52" t="s">
        <v>2600</v>
      </c>
      <c r="E1133" s="52" t="s">
        <v>2237</v>
      </c>
      <c r="F1133" s="52" t="s">
        <v>620</v>
      </c>
      <c r="G1133" s="52" t="s">
        <v>244</v>
      </c>
      <c r="H1133" s="52">
        <v>1</v>
      </c>
    </row>
    <row r="1134" spans="1:8" ht="14.4" x14ac:dyDescent="0.3">
      <c r="A1134" s="50">
        <v>4028</v>
      </c>
      <c r="B1134" s="51">
        <v>20022001102</v>
      </c>
      <c r="C1134" s="52" t="s">
        <v>2601</v>
      </c>
      <c r="D1134" s="52" t="s">
        <v>2602</v>
      </c>
      <c r="E1134" s="52" t="s">
        <v>2100</v>
      </c>
      <c r="F1134" s="52" t="s">
        <v>628</v>
      </c>
      <c r="G1134" s="52" t="s">
        <v>244</v>
      </c>
      <c r="H1134" s="52">
        <v>1</v>
      </c>
    </row>
    <row r="1135" spans="1:8" ht="14.4" x14ac:dyDescent="0.3">
      <c r="A1135" s="50">
        <v>4029</v>
      </c>
      <c r="B1135" s="51">
        <v>20000650029</v>
      </c>
      <c r="C1135" s="52" t="s">
        <v>2603</v>
      </c>
      <c r="D1135" s="52" t="s">
        <v>1134</v>
      </c>
      <c r="E1135" s="52" t="s">
        <v>1046</v>
      </c>
      <c r="F1135" s="52" t="s">
        <v>618</v>
      </c>
      <c r="G1135" s="52" t="s">
        <v>244</v>
      </c>
      <c r="H1135" s="52">
        <v>1</v>
      </c>
    </row>
    <row r="1136" spans="1:8" ht="14.4" x14ac:dyDescent="0.3">
      <c r="A1136" s="50">
        <v>4030</v>
      </c>
      <c r="B1136" s="51">
        <v>20001260017</v>
      </c>
      <c r="C1136" s="52" t="s">
        <v>2604</v>
      </c>
      <c r="D1136" s="52" t="s">
        <v>1897</v>
      </c>
      <c r="E1136" s="52" t="s">
        <v>1895</v>
      </c>
      <c r="F1136" s="52" t="s">
        <v>618</v>
      </c>
      <c r="G1136" s="52" t="s">
        <v>244</v>
      </c>
      <c r="H1136" s="52">
        <v>1</v>
      </c>
    </row>
    <row r="1137" spans="1:8" ht="14.4" x14ac:dyDescent="0.3">
      <c r="A1137" s="50">
        <v>4031</v>
      </c>
      <c r="B1137" s="51">
        <v>20009001108</v>
      </c>
      <c r="C1137" s="52" t="s">
        <v>2605</v>
      </c>
      <c r="D1137" s="52" t="s">
        <v>2606</v>
      </c>
      <c r="E1137" s="52" t="s">
        <v>1970</v>
      </c>
      <c r="F1137" s="52" t="s">
        <v>628</v>
      </c>
      <c r="G1137" s="52" t="s">
        <v>213</v>
      </c>
      <c r="H1137" s="52">
        <v>1</v>
      </c>
    </row>
    <row r="1138" spans="1:8" ht="14.4" x14ac:dyDescent="0.3">
      <c r="A1138" s="50">
        <v>4032</v>
      </c>
      <c r="B1138" s="51">
        <v>20000310010</v>
      </c>
      <c r="C1138" s="52" t="s">
        <v>1543</v>
      </c>
      <c r="D1138" s="52" t="s">
        <v>1748</v>
      </c>
      <c r="E1138" s="52" t="s">
        <v>2922</v>
      </c>
      <c r="F1138" s="52" t="s">
        <v>664</v>
      </c>
      <c r="G1138" s="52" t="s">
        <v>213</v>
      </c>
      <c r="H1138" s="52">
        <v>1</v>
      </c>
    </row>
    <row r="1139" spans="1:8" ht="14.4" x14ac:dyDescent="0.3">
      <c r="A1139" s="50">
        <v>4033</v>
      </c>
      <c r="B1139" s="51">
        <v>20051001108</v>
      </c>
      <c r="C1139" s="52" t="s">
        <v>2629</v>
      </c>
      <c r="D1139" s="52" t="s">
        <v>2630</v>
      </c>
      <c r="E1139" s="52" t="s">
        <v>1988</v>
      </c>
      <c r="F1139" s="52" t="s">
        <v>628</v>
      </c>
      <c r="G1139" s="52" t="s">
        <v>213</v>
      </c>
      <c r="H1139" s="52">
        <v>1</v>
      </c>
    </row>
    <row r="1140" spans="1:8" ht="14.4" x14ac:dyDescent="0.3">
      <c r="A1140" s="50">
        <v>4034</v>
      </c>
      <c r="B1140" s="51">
        <v>20022001102</v>
      </c>
      <c r="C1140" s="52" t="s">
        <v>2627</v>
      </c>
      <c r="D1140" s="52" t="s">
        <v>2628</v>
      </c>
      <c r="E1140" s="52" t="s">
        <v>2100</v>
      </c>
      <c r="F1140" s="52" t="s">
        <v>628</v>
      </c>
      <c r="G1140" s="52" t="s">
        <v>244</v>
      </c>
      <c r="H1140" s="52">
        <v>1</v>
      </c>
    </row>
    <row r="1141" spans="1:8" ht="14.4" x14ac:dyDescent="0.3">
      <c r="A1141" s="50">
        <v>4035</v>
      </c>
      <c r="B1141" s="51">
        <v>20001104088</v>
      </c>
      <c r="C1141" s="52" t="s">
        <v>2622</v>
      </c>
      <c r="D1141" s="52" t="s">
        <v>2623</v>
      </c>
      <c r="E1141" s="52" t="s">
        <v>2624</v>
      </c>
      <c r="F1141" s="52" t="s">
        <v>620</v>
      </c>
      <c r="G1141" s="52" t="s">
        <v>244</v>
      </c>
      <c r="H1141" s="52">
        <v>1</v>
      </c>
    </row>
    <row r="1142" spans="1:8" ht="14.4" x14ac:dyDescent="0.3">
      <c r="A1142" s="50">
        <v>4036</v>
      </c>
      <c r="B1142" s="51">
        <v>20022001104</v>
      </c>
      <c r="C1142" s="52" t="s">
        <v>2625</v>
      </c>
      <c r="D1142" s="52" t="s">
        <v>2900</v>
      </c>
      <c r="E1142" s="52" t="s">
        <v>2100</v>
      </c>
      <c r="F1142" s="52" t="s">
        <v>620</v>
      </c>
      <c r="G1142" s="52" t="s">
        <v>244</v>
      </c>
      <c r="H1142" s="52">
        <v>1</v>
      </c>
    </row>
    <row r="1143" spans="1:8" ht="14.4" x14ac:dyDescent="0.3">
      <c r="A1143" s="50">
        <v>4037</v>
      </c>
      <c r="B1143" s="51">
        <v>20000570122</v>
      </c>
      <c r="C1143" s="52" t="s">
        <v>2620</v>
      </c>
      <c r="D1143" s="52" t="s">
        <v>2621</v>
      </c>
      <c r="E1143" s="52" t="s">
        <v>1031</v>
      </c>
      <c r="F1143" s="52" t="s">
        <v>628</v>
      </c>
      <c r="G1143" s="52" t="s">
        <v>244</v>
      </c>
      <c r="H1143" s="52">
        <v>1</v>
      </c>
    </row>
    <row r="1144" spans="1:8" ht="14.4" x14ac:dyDescent="0.3">
      <c r="A1144" s="50">
        <v>4038</v>
      </c>
      <c r="B1144" s="51">
        <v>20009001108</v>
      </c>
      <c r="C1144" s="52" t="s">
        <v>2649</v>
      </c>
      <c r="D1144" s="52" t="s">
        <v>2650</v>
      </c>
      <c r="E1144" s="52" t="s">
        <v>1970</v>
      </c>
      <c r="F1144" s="52" t="s">
        <v>628</v>
      </c>
      <c r="G1144" s="52" t="s">
        <v>213</v>
      </c>
      <c r="H1144" s="52">
        <v>1</v>
      </c>
    </row>
    <row r="1145" spans="1:8" ht="14.4" x14ac:dyDescent="0.3">
      <c r="A1145" s="50">
        <v>4039</v>
      </c>
      <c r="B1145" s="51">
        <v>20022001102</v>
      </c>
      <c r="C1145" s="52" t="s">
        <v>2688</v>
      </c>
      <c r="D1145" s="52" t="s">
        <v>1573</v>
      </c>
      <c r="E1145" s="52" t="s">
        <v>2100</v>
      </c>
      <c r="F1145" s="52" t="s">
        <v>628</v>
      </c>
      <c r="G1145" s="52" t="s">
        <v>213</v>
      </c>
      <c r="H1145" s="52">
        <v>1</v>
      </c>
    </row>
    <row r="1146" spans="1:8" ht="14.4" x14ac:dyDescent="0.3">
      <c r="A1146" s="50">
        <v>4040</v>
      </c>
      <c r="B1146" s="51">
        <v>20001054085</v>
      </c>
      <c r="C1146" s="52" t="s">
        <v>1276</v>
      </c>
      <c r="D1146" s="52" t="s">
        <v>916</v>
      </c>
      <c r="E1146" s="52" t="s">
        <v>1326</v>
      </c>
      <c r="F1146" s="52" t="s">
        <v>620</v>
      </c>
      <c r="G1146" s="52" t="s">
        <v>213</v>
      </c>
      <c r="H1146" s="52">
        <v>1</v>
      </c>
    </row>
    <row r="1147" spans="1:8" ht="14.4" x14ac:dyDescent="0.3">
      <c r="A1147" s="50">
        <v>4041</v>
      </c>
      <c r="B1147" s="51">
        <v>20020114013</v>
      </c>
      <c r="C1147" s="52" t="s">
        <v>2827</v>
      </c>
      <c r="D1147" s="52" t="s">
        <v>2651</v>
      </c>
      <c r="E1147" s="52" t="s">
        <v>2237</v>
      </c>
      <c r="F1147" s="52" t="s">
        <v>1086</v>
      </c>
      <c r="G1147" s="52" t="s">
        <v>244</v>
      </c>
      <c r="H1147" s="52">
        <v>1</v>
      </c>
    </row>
    <row r="1148" spans="1:8" ht="14.4" x14ac:dyDescent="0.3">
      <c r="A1148" s="50">
        <v>4042</v>
      </c>
      <c r="B1148" s="51">
        <v>20022001104</v>
      </c>
      <c r="C1148" s="52" t="s">
        <v>2157</v>
      </c>
      <c r="D1148" s="52" t="s">
        <v>1239</v>
      </c>
      <c r="E1148" s="52" t="s">
        <v>2100</v>
      </c>
      <c r="F1148" s="52" t="s">
        <v>620</v>
      </c>
      <c r="G1148" s="52" t="s">
        <v>244</v>
      </c>
      <c r="H1148" s="52">
        <v>1</v>
      </c>
    </row>
    <row r="1149" spans="1:8" ht="14.4" x14ac:dyDescent="0.3">
      <c r="A1149" s="50">
        <v>4043</v>
      </c>
      <c r="B1149" s="51">
        <v>20001104088</v>
      </c>
      <c r="C1149" s="52" t="s">
        <v>2652</v>
      </c>
      <c r="D1149" s="52" t="s">
        <v>1221</v>
      </c>
      <c r="E1149" s="52" t="s">
        <v>1631</v>
      </c>
      <c r="F1149" s="52" t="s">
        <v>620</v>
      </c>
      <c r="G1149" s="52" t="s">
        <v>244</v>
      </c>
      <c r="H1149" s="52">
        <v>1</v>
      </c>
    </row>
    <row r="1150" spans="1:8" ht="14.4" x14ac:dyDescent="0.3">
      <c r="A1150" s="50">
        <v>4044</v>
      </c>
      <c r="B1150" s="51">
        <v>20051001112</v>
      </c>
      <c r="C1150" s="52" t="s">
        <v>2653</v>
      </c>
      <c r="D1150" s="52" t="s">
        <v>1282</v>
      </c>
      <c r="E1150" s="52" t="s">
        <v>1988</v>
      </c>
      <c r="F1150" s="52" t="s">
        <v>620</v>
      </c>
      <c r="G1150" s="52" t="s">
        <v>244</v>
      </c>
      <c r="H1150" s="52">
        <v>1</v>
      </c>
    </row>
    <row r="1151" spans="1:8" ht="14.4" x14ac:dyDescent="0.3">
      <c r="A1151" s="50">
        <v>4045</v>
      </c>
      <c r="B1151" s="51">
        <v>20060110034</v>
      </c>
      <c r="C1151" s="52" t="s">
        <v>2689</v>
      </c>
      <c r="D1151" s="52" t="s">
        <v>2690</v>
      </c>
      <c r="E1151" s="52" t="s">
        <v>1275</v>
      </c>
      <c r="F1151" s="52" t="s">
        <v>620</v>
      </c>
      <c r="G1151" s="52" t="s">
        <v>213</v>
      </c>
      <c r="H1151" s="52">
        <v>1</v>
      </c>
    </row>
    <row r="1152" spans="1:8" ht="14.4" x14ac:dyDescent="0.3">
      <c r="A1152" s="50">
        <v>4046</v>
      </c>
      <c r="B1152" s="51">
        <v>20009001108</v>
      </c>
      <c r="C1152" s="52" t="s">
        <v>2683</v>
      </c>
      <c r="D1152" s="52" t="s">
        <v>719</v>
      </c>
      <c r="E1152" s="52" t="s">
        <v>1993</v>
      </c>
      <c r="F1152" s="52" t="s">
        <v>628</v>
      </c>
      <c r="G1152" s="52" t="s">
        <v>244</v>
      </c>
      <c r="H1152" s="52">
        <v>1</v>
      </c>
    </row>
    <row r="1153" spans="1:8" ht="14.4" x14ac:dyDescent="0.3">
      <c r="A1153" s="50">
        <v>4047</v>
      </c>
      <c r="B1153" s="51">
        <v>20017290154</v>
      </c>
      <c r="C1153" s="52" t="s">
        <v>2675</v>
      </c>
      <c r="D1153" s="52" t="s">
        <v>2676</v>
      </c>
      <c r="E1153" s="52" t="s">
        <v>3364</v>
      </c>
      <c r="F1153" s="52" t="s">
        <v>620</v>
      </c>
      <c r="G1153" s="52" t="s">
        <v>213</v>
      </c>
      <c r="H1153" s="52">
        <v>1</v>
      </c>
    </row>
    <row r="1154" spans="1:8" ht="14.4" x14ac:dyDescent="0.3">
      <c r="A1154" s="50">
        <v>4048</v>
      </c>
      <c r="B1154" s="51">
        <v>20009001107</v>
      </c>
      <c r="C1154" s="52" t="s">
        <v>2680</v>
      </c>
      <c r="D1154" s="52" t="s">
        <v>1344</v>
      </c>
      <c r="E1154" s="52" t="s">
        <v>1970</v>
      </c>
      <c r="F1154" s="52" t="s">
        <v>1441</v>
      </c>
      <c r="G1154" s="52" t="s">
        <v>213</v>
      </c>
      <c r="H1154" s="52">
        <v>1</v>
      </c>
    </row>
    <row r="1155" spans="1:8" ht="14.4" x14ac:dyDescent="0.3">
      <c r="A1155" s="50">
        <v>4049</v>
      </c>
      <c r="B1155" s="51">
        <v>20009001108</v>
      </c>
      <c r="C1155" s="52" t="s">
        <v>2681</v>
      </c>
      <c r="D1155" s="52" t="s">
        <v>868</v>
      </c>
      <c r="E1155" s="52" t="s">
        <v>1970</v>
      </c>
      <c r="F1155" s="52" t="s">
        <v>628</v>
      </c>
      <c r="G1155" s="52" t="s">
        <v>213</v>
      </c>
      <c r="H1155" s="52">
        <v>1</v>
      </c>
    </row>
    <row r="1156" spans="1:8" ht="14.4" x14ac:dyDescent="0.3">
      <c r="A1156" s="50">
        <v>4050</v>
      </c>
      <c r="B1156" s="51">
        <v>20009001108</v>
      </c>
      <c r="C1156" s="52" t="s">
        <v>2691</v>
      </c>
      <c r="D1156" s="52" t="s">
        <v>1919</v>
      </c>
      <c r="E1156" s="52" t="s">
        <v>1970</v>
      </c>
      <c r="F1156" s="52" t="s">
        <v>628</v>
      </c>
      <c r="G1156" s="52" t="s">
        <v>244</v>
      </c>
      <c r="H1156" s="52">
        <v>1</v>
      </c>
    </row>
    <row r="1157" spans="1:8" ht="14.4" x14ac:dyDescent="0.3">
      <c r="A1157" s="50">
        <v>4051</v>
      </c>
      <c r="B1157" s="51">
        <v>20001150127</v>
      </c>
      <c r="C1157" s="52" t="s">
        <v>2729</v>
      </c>
      <c r="D1157" s="52" t="s">
        <v>1108</v>
      </c>
      <c r="E1157" s="52" t="s">
        <v>1883</v>
      </c>
      <c r="F1157" s="52" t="s">
        <v>618</v>
      </c>
      <c r="G1157" s="52" t="s">
        <v>244</v>
      </c>
      <c r="H1157" s="52">
        <v>0.5</v>
      </c>
    </row>
    <row r="1158" spans="1:8" ht="14.4" x14ac:dyDescent="0.3">
      <c r="A1158" s="50">
        <v>4052</v>
      </c>
      <c r="B1158" s="51">
        <v>20001260017</v>
      </c>
      <c r="C1158" s="52" t="s">
        <v>2730</v>
      </c>
      <c r="D1158" s="52" t="s">
        <v>825</v>
      </c>
      <c r="E1158" s="52" t="s">
        <v>2731</v>
      </c>
      <c r="F1158" s="52" t="s">
        <v>618</v>
      </c>
      <c r="G1158" s="52" t="s">
        <v>244</v>
      </c>
      <c r="H1158" s="52">
        <v>0.5</v>
      </c>
    </row>
    <row r="1159" spans="1:8" ht="14.4" x14ac:dyDescent="0.3">
      <c r="A1159" s="50">
        <v>4053</v>
      </c>
      <c r="B1159" s="51">
        <v>20000950132</v>
      </c>
      <c r="C1159" s="52" t="s">
        <v>2750</v>
      </c>
      <c r="D1159" s="52" t="s">
        <v>1530</v>
      </c>
      <c r="E1159" s="52" t="s">
        <v>2751</v>
      </c>
      <c r="F1159" s="52" t="s">
        <v>2765</v>
      </c>
      <c r="G1159" s="52" t="s">
        <v>213</v>
      </c>
      <c r="H1159" s="52">
        <v>1</v>
      </c>
    </row>
    <row r="1160" spans="1:8" ht="14.4" x14ac:dyDescent="0.3">
      <c r="A1160" s="50">
        <v>4054</v>
      </c>
      <c r="B1160" s="51">
        <v>20001052065</v>
      </c>
      <c r="C1160" s="52" t="s">
        <v>696</v>
      </c>
      <c r="D1160" s="52" t="s">
        <v>2752</v>
      </c>
      <c r="E1160" s="52" t="s">
        <v>1326</v>
      </c>
      <c r="F1160" s="52" t="s">
        <v>628</v>
      </c>
      <c r="G1160" s="52" t="s">
        <v>145</v>
      </c>
      <c r="H1160" s="52">
        <v>1</v>
      </c>
    </row>
    <row r="1161" spans="1:8" ht="14.4" x14ac:dyDescent="0.3">
      <c r="A1161" s="50">
        <v>4055</v>
      </c>
      <c r="B1161" s="51">
        <v>20000950132</v>
      </c>
      <c r="C1161" s="52" t="s">
        <v>2753</v>
      </c>
      <c r="D1161" s="52" t="s">
        <v>1521</v>
      </c>
      <c r="E1161" s="52" t="s">
        <v>2754</v>
      </c>
      <c r="F1161" s="52" t="s">
        <v>2765</v>
      </c>
      <c r="G1161" s="52" t="s">
        <v>244</v>
      </c>
      <c r="H1161" s="52">
        <v>1</v>
      </c>
    </row>
    <row r="1162" spans="1:8" ht="14.4" x14ac:dyDescent="0.3">
      <c r="A1162" s="50">
        <v>4056</v>
      </c>
      <c r="B1162" s="51">
        <v>20000110105</v>
      </c>
      <c r="C1162" s="52" t="s">
        <v>2755</v>
      </c>
      <c r="D1162" s="52" t="s">
        <v>901</v>
      </c>
      <c r="E1162" s="52" t="s">
        <v>633</v>
      </c>
      <c r="F1162" s="52" t="s">
        <v>628</v>
      </c>
      <c r="G1162" s="52" t="s">
        <v>244</v>
      </c>
      <c r="H1162" s="52">
        <v>0.5</v>
      </c>
    </row>
    <row r="1163" spans="1:8" ht="14.4" x14ac:dyDescent="0.3">
      <c r="A1163" s="50">
        <v>4057</v>
      </c>
      <c r="B1163" s="51">
        <v>20020054086</v>
      </c>
      <c r="C1163" s="52" t="s">
        <v>2756</v>
      </c>
      <c r="D1163" s="52" t="s">
        <v>1106</v>
      </c>
      <c r="E1163" s="52" t="s">
        <v>2209</v>
      </c>
      <c r="F1163" s="52" t="s">
        <v>620</v>
      </c>
      <c r="G1163" s="52" t="s">
        <v>244</v>
      </c>
      <c r="H1163" s="52">
        <v>1</v>
      </c>
    </row>
    <row r="1164" spans="1:8" ht="14.4" x14ac:dyDescent="0.3">
      <c r="A1164" s="50">
        <v>4058</v>
      </c>
      <c r="B1164" s="51">
        <v>20051001112</v>
      </c>
      <c r="C1164" s="52" t="s">
        <v>2270</v>
      </c>
      <c r="D1164" s="52" t="s">
        <v>1610</v>
      </c>
      <c r="E1164" s="52" t="s">
        <v>1988</v>
      </c>
      <c r="F1164" s="52" t="s">
        <v>620</v>
      </c>
      <c r="G1164" s="52" t="s">
        <v>244</v>
      </c>
      <c r="H1164" s="52">
        <v>1</v>
      </c>
    </row>
    <row r="1165" spans="1:8" ht="14.4" x14ac:dyDescent="0.3">
      <c r="A1165" s="50">
        <v>4060</v>
      </c>
      <c r="B1165" s="51">
        <v>20001260017</v>
      </c>
      <c r="C1165" s="52" t="s">
        <v>2757</v>
      </c>
      <c r="D1165" s="52" t="s">
        <v>2758</v>
      </c>
      <c r="E1165" s="52" t="s">
        <v>2731</v>
      </c>
      <c r="F1165" s="52" t="s">
        <v>618</v>
      </c>
      <c r="G1165" s="52" t="s">
        <v>244</v>
      </c>
      <c r="H1165" s="52">
        <v>0.5</v>
      </c>
    </row>
    <row r="1166" spans="1:8" ht="14.4" x14ac:dyDescent="0.3">
      <c r="A1166" s="50">
        <v>4061</v>
      </c>
      <c r="B1166" s="51">
        <v>20000920001</v>
      </c>
      <c r="C1166" s="52" t="s">
        <v>2779</v>
      </c>
      <c r="D1166" s="52" t="s">
        <v>2780</v>
      </c>
      <c r="E1166" s="52" t="s">
        <v>1290</v>
      </c>
      <c r="F1166" s="52" t="s">
        <v>628</v>
      </c>
      <c r="G1166" s="52" t="s">
        <v>213</v>
      </c>
      <c r="H1166" s="52">
        <v>1</v>
      </c>
    </row>
    <row r="1167" spans="1:8" ht="14.4" x14ac:dyDescent="0.3">
      <c r="A1167" s="50">
        <v>4062</v>
      </c>
      <c r="B1167" s="51">
        <v>20001052069</v>
      </c>
      <c r="C1167" s="52" t="s">
        <v>2828</v>
      </c>
      <c r="D1167" s="52" t="s">
        <v>741</v>
      </c>
      <c r="E1167" s="52" t="s">
        <v>1326</v>
      </c>
      <c r="F1167" s="52" t="s">
        <v>1532</v>
      </c>
      <c r="G1167" s="52" t="s">
        <v>213</v>
      </c>
      <c r="H1167" s="52">
        <v>1</v>
      </c>
    </row>
    <row r="1168" spans="1:8" ht="14.4" x14ac:dyDescent="0.3">
      <c r="A1168" s="50">
        <v>4063</v>
      </c>
      <c r="B1168" s="51">
        <v>20051092067</v>
      </c>
      <c r="C1168" s="52" t="s">
        <v>2759</v>
      </c>
      <c r="D1168" s="52" t="s">
        <v>715</v>
      </c>
      <c r="E1168" s="52" t="s">
        <v>2471</v>
      </c>
      <c r="F1168" s="52" t="s">
        <v>628</v>
      </c>
      <c r="G1168" s="52" t="s">
        <v>244</v>
      </c>
      <c r="H1168" s="52">
        <v>1</v>
      </c>
    </row>
    <row r="1169" spans="1:8" ht="14.4" x14ac:dyDescent="0.3">
      <c r="A1169" s="50">
        <v>4064</v>
      </c>
      <c r="B1169" s="51">
        <v>20000570123</v>
      </c>
      <c r="C1169" s="52" t="s">
        <v>2781</v>
      </c>
      <c r="D1169" s="52" t="s">
        <v>2782</v>
      </c>
      <c r="E1169" s="52" t="s">
        <v>1031</v>
      </c>
      <c r="F1169" s="52" t="s">
        <v>620</v>
      </c>
      <c r="G1169" s="52" t="s">
        <v>244</v>
      </c>
      <c r="H1169" s="52">
        <v>1</v>
      </c>
    </row>
    <row r="1170" spans="1:8" ht="14.4" x14ac:dyDescent="0.3">
      <c r="A1170" s="50">
        <v>4065</v>
      </c>
      <c r="B1170" s="51">
        <v>20000110105</v>
      </c>
      <c r="C1170" s="52" t="s">
        <v>2783</v>
      </c>
      <c r="D1170" s="52" t="s">
        <v>2784</v>
      </c>
      <c r="E1170" s="52" t="s">
        <v>633</v>
      </c>
      <c r="F1170" s="52" t="s">
        <v>628</v>
      </c>
      <c r="G1170" s="52" t="s">
        <v>244</v>
      </c>
      <c r="H1170" s="52">
        <v>1</v>
      </c>
    </row>
    <row r="1171" spans="1:8" ht="14.4" x14ac:dyDescent="0.3">
      <c r="A1171" s="50">
        <v>4066</v>
      </c>
      <c r="B1171" s="51">
        <v>20000570123</v>
      </c>
      <c r="C1171" s="52" t="s">
        <v>2797</v>
      </c>
      <c r="D1171" s="52" t="s">
        <v>2798</v>
      </c>
      <c r="E1171" s="52" t="s">
        <v>1031</v>
      </c>
      <c r="F1171" s="52" t="s">
        <v>1086</v>
      </c>
      <c r="G1171" s="52" t="s">
        <v>145</v>
      </c>
      <c r="H1171" s="52">
        <v>1</v>
      </c>
    </row>
    <row r="1172" spans="1:8" ht="14.4" x14ac:dyDescent="0.3">
      <c r="A1172" s="50">
        <v>4067</v>
      </c>
      <c r="B1172" s="51">
        <v>20001102068</v>
      </c>
      <c r="C1172" s="52" t="s">
        <v>1762</v>
      </c>
      <c r="D1172" s="52" t="s">
        <v>2785</v>
      </c>
      <c r="E1172" s="52" t="s">
        <v>2901</v>
      </c>
      <c r="F1172" s="52" t="s">
        <v>628</v>
      </c>
      <c r="G1172" s="52" t="s">
        <v>244</v>
      </c>
      <c r="H1172" s="52">
        <v>1</v>
      </c>
    </row>
    <row r="1173" spans="1:8" ht="14.4" x14ac:dyDescent="0.3">
      <c r="A1173" s="50">
        <v>4068</v>
      </c>
      <c r="B1173" s="51">
        <v>20000630026</v>
      </c>
      <c r="C1173" s="52" t="s">
        <v>2799</v>
      </c>
      <c r="D1173" s="52" t="s">
        <v>2829</v>
      </c>
      <c r="E1173" s="52" t="s">
        <v>3392</v>
      </c>
      <c r="F1173" s="52" t="s">
        <v>618</v>
      </c>
      <c r="G1173" s="52" t="s">
        <v>244</v>
      </c>
      <c r="H1173" s="52">
        <v>1</v>
      </c>
    </row>
    <row r="1174" spans="1:8" ht="14.4" x14ac:dyDescent="0.3">
      <c r="A1174" s="50">
        <v>4069</v>
      </c>
      <c r="B1174" s="51">
        <v>20009001112</v>
      </c>
      <c r="C1174" s="52" t="s">
        <v>2800</v>
      </c>
      <c r="D1174" s="52" t="s">
        <v>1944</v>
      </c>
      <c r="E1174" s="52" t="s">
        <v>1993</v>
      </c>
      <c r="F1174" s="52" t="s">
        <v>620</v>
      </c>
      <c r="G1174" s="52" t="s">
        <v>213</v>
      </c>
      <c r="H1174" s="52">
        <v>1</v>
      </c>
    </row>
    <row r="1175" spans="1:8" ht="14.4" x14ac:dyDescent="0.3">
      <c r="A1175" s="50">
        <v>4070</v>
      </c>
      <c r="B1175" s="51">
        <v>20009001110</v>
      </c>
      <c r="C1175" s="52" t="s">
        <v>2801</v>
      </c>
      <c r="D1175" s="52" t="s">
        <v>2802</v>
      </c>
      <c r="E1175" s="52" t="s">
        <v>1970</v>
      </c>
      <c r="F1175" s="52" t="s">
        <v>1313</v>
      </c>
      <c r="G1175" s="52" t="s">
        <v>213</v>
      </c>
      <c r="H1175" s="52">
        <v>1</v>
      </c>
    </row>
    <row r="1176" spans="1:8" ht="14.4" x14ac:dyDescent="0.3">
      <c r="A1176" s="50">
        <v>4072</v>
      </c>
      <c r="B1176" s="51">
        <v>20051001112</v>
      </c>
      <c r="C1176" s="52" t="s">
        <v>2803</v>
      </c>
      <c r="D1176" s="52" t="s">
        <v>2804</v>
      </c>
      <c r="E1176" s="52" t="s">
        <v>1988</v>
      </c>
      <c r="F1176" s="52" t="s">
        <v>620</v>
      </c>
      <c r="G1176" s="52" t="s">
        <v>244</v>
      </c>
      <c r="H1176" s="52">
        <v>1</v>
      </c>
    </row>
    <row r="1177" spans="1:8" ht="14.4" x14ac:dyDescent="0.3">
      <c r="A1177" s="50">
        <v>4075</v>
      </c>
      <c r="B1177" s="51">
        <v>20001101045</v>
      </c>
      <c r="C1177" s="52" t="s">
        <v>2805</v>
      </c>
      <c r="D1177" s="52" t="s">
        <v>2806</v>
      </c>
      <c r="E1177" s="52" t="s">
        <v>2533</v>
      </c>
      <c r="F1177" s="52" t="s">
        <v>1056</v>
      </c>
      <c r="G1177" s="52" t="s">
        <v>244</v>
      </c>
      <c r="H1177" s="52">
        <v>1</v>
      </c>
    </row>
    <row r="1178" spans="1:8" ht="14.4" x14ac:dyDescent="0.3">
      <c r="A1178" s="50">
        <v>4076</v>
      </c>
      <c r="B1178" s="51">
        <v>20001052069</v>
      </c>
      <c r="C1178" s="52" t="s">
        <v>1681</v>
      </c>
      <c r="D1178" s="52" t="s">
        <v>1559</v>
      </c>
      <c r="E1178" s="52" t="s">
        <v>1326</v>
      </c>
      <c r="F1178" s="52" t="s">
        <v>1532</v>
      </c>
      <c r="G1178" s="52" t="s">
        <v>213</v>
      </c>
      <c r="H1178" s="52">
        <v>1</v>
      </c>
    </row>
    <row r="1179" spans="1:8" ht="14.4" x14ac:dyDescent="0.3">
      <c r="A1179" s="50">
        <v>4077</v>
      </c>
      <c r="B1179" s="51">
        <v>20051001112</v>
      </c>
      <c r="C1179" s="52" t="s">
        <v>2830</v>
      </c>
      <c r="D1179" s="52" t="s">
        <v>2831</v>
      </c>
      <c r="E1179" s="52" t="s">
        <v>1988</v>
      </c>
      <c r="F1179" s="52" t="s">
        <v>620</v>
      </c>
      <c r="G1179" s="52" t="s">
        <v>213</v>
      </c>
      <c r="H1179" s="52">
        <v>1</v>
      </c>
    </row>
    <row r="1180" spans="1:8" ht="14.4" x14ac:dyDescent="0.3">
      <c r="A1180" s="50">
        <v>4079</v>
      </c>
      <c r="B1180" s="51">
        <v>20060110034</v>
      </c>
      <c r="C1180" s="52" t="s">
        <v>2832</v>
      </c>
      <c r="D1180" s="52" t="s">
        <v>739</v>
      </c>
      <c r="E1180" s="52" t="s">
        <v>1275</v>
      </c>
      <c r="F1180" s="52" t="s">
        <v>618</v>
      </c>
      <c r="G1180" s="52" t="s">
        <v>244</v>
      </c>
      <c r="H1180" s="52">
        <v>1</v>
      </c>
    </row>
    <row r="1181" spans="1:8" ht="14.4" x14ac:dyDescent="0.3">
      <c r="A1181" s="50">
        <v>4080</v>
      </c>
      <c r="B1181" s="51">
        <v>20001054112</v>
      </c>
      <c r="C1181" s="52" t="s">
        <v>2833</v>
      </c>
      <c r="D1181" s="52" t="s">
        <v>2834</v>
      </c>
      <c r="E1181" s="52" t="s">
        <v>1622</v>
      </c>
      <c r="F1181" s="52" t="s">
        <v>628</v>
      </c>
      <c r="G1181" s="52" t="s">
        <v>244</v>
      </c>
      <c r="H1181" s="52">
        <v>1</v>
      </c>
    </row>
    <row r="1182" spans="1:8" ht="14.4" x14ac:dyDescent="0.3">
      <c r="A1182" s="50">
        <v>4081</v>
      </c>
      <c r="B1182" s="51">
        <v>20000310010</v>
      </c>
      <c r="C1182" s="52" t="s">
        <v>2835</v>
      </c>
      <c r="D1182" s="52" t="s">
        <v>772</v>
      </c>
      <c r="E1182" s="52" t="s">
        <v>2922</v>
      </c>
      <c r="F1182" s="52" t="s">
        <v>664</v>
      </c>
      <c r="G1182" s="52" t="s">
        <v>244</v>
      </c>
      <c r="H1182" s="52">
        <v>0.5</v>
      </c>
    </row>
    <row r="1183" spans="1:8" ht="14.4" x14ac:dyDescent="0.3">
      <c r="A1183" s="50">
        <v>4083</v>
      </c>
      <c r="B1183" s="51">
        <v>20001050115</v>
      </c>
      <c r="C1183" s="52" t="s">
        <v>947</v>
      </c>
      <c r="D1183" s="52" t="s">
        <v>2836</v>
      </c>
      <c r="E1183" s="52" t="s">
        <v>2943</v>
      </c>
      <c r="F1183" s="52" t="s">
        <v>628</v>
      </c>
      <c r="G1183" s="52" t="s">
        <v>213</v>
      </c>
      <c r="H1183" s="52">
        <v>1</v>
      </c>
    </row>
    <row r="1184" spans="1:8" ht="14.4" x14ac:dyDescent="0.3">
      <c r="A1184" s="50">
        <v>4085</v>
      </c>
      <c r="B1184" s="51">
        <v>20051001112</v>
      </c>
      <c r="C1184" s="52" t="s">
        <v>2837</v>
      </c>
      <c r="D1184" s="52" t="s">
        <v>2838</v>
      </c>
      <c r="E1184" s="52" t="s">
        <v>1988</v>
      </c>
      <c r="F1184" s="52" t="s">
        <v>620</v>
      </c>
      <c r="G1184" s="52" t="s">
        <v>244</v>
      </c>
      <c r="H1184" s="52">
        <v>1</v>
      </c>
    </row>
    <row r="1185" spans="1:8" ht="14.4" x14ac:dyDescent="0.3">
      <c r="A1185" s="50">
        <v>4086</v>
      </c>
      <c r="B1185" s="51">
        <v>20009001109</v>
      </c>
      <c r="C1185" s="52" t="s">
        <v>2839</v>
      </c>
      <c r="D1185" s="52" t="s">
        <v>1575</v>
      </c>
      <c r="E1185" s="52" t="s">
        <v>2100</v>
      </c>
      <c r="F1185" s="52" t="s">
        <v>1532</v>
      </c>
      <c r="G1185" s="52" t="s">
        <v>244</v>
      </c>
      <c r="H1185" s="52">
        <v>1</v>
      </c>
    </row>
    <row r="1186" spans="1:8" ht="14.4" x14ac:dyDescent="0.3">
      <c r="A1186" s="50">
        <v>4087</v>
      </c>
      <c r="B1186" s="51">
        <v>20020114093</v>
      </c>
      <c r="C1186" s="52" t="s">
        <v>2859</v>
      </c>
      <c r="D1186" s="52" t="s">
        <v>3317</v>
      </c>
      <c r="E1186" s="52" t="s">
        <v>2237</v>
      </c>
      <c r="F1186" s="52" t="s">
        <v>620</v>
      </c>
      <c r="G1186" s="52" t="s">
        <v>244</v>
      </c>
      <c r="H1186" s="52">
        <v>1</v>
      </c>
    </row>
    <row r="1187" spans="1:8" ht="14.4" x14ac:dyDescent="0.3">
      <c r="A1187" s="50">
        <v>4088</v>
      </c>
      <c r="B1187" s="51">
        <v>20000310010</v>
      </c>
      <c r="C1187" s="52" t="s">
        <v>2860</v>
      </c>
      <c r="D1187" s="52" t="s">
        <v>1126</v>
      </c>
      <c r="E1187" s="52" t="s">
        <v>663</v>
      </c>
      <c r="F1187" s="52" t="s">
        <v>664</v>
      </c>
      <c r="G1187" s="52" t="s">
        <v>244</v>
      </c>
      <c r="H1187" s="52">
        <v>0.5</v>
      </c>
    </row>
    <row r="1188" spans="1:8" ht="14.4" x14ac:dyDescent="0.3">
      <c r="A1188" s="50">
        <v>4089</v>
      </c>
      <c r="B1188" s="51">
        <v>20000570009</v>
      </c>
      <c r="C1188" s="52" t="s">
        <v>2902</v>
      </c>
      <c r="D1188" s="52" t="s">
        <v>968</v>
      </c>
      <c r="E1188" s="52" t="s">
        <v>1724</v>
      </c>
      <c r="F1188" s="52" t="s">
        <v>618</v>
      </c>
      <c r="G1188" s="52" t="s">
        <v>244</v>
      </c>
      <c r="H1188" s="52">
        <v>1</v>
      </c>
    </row>
    <row r="1189" spans="1:8" ht="14.4" x14ac:dyDescent="0.3">
      <c r="A1189" s="50">
        <v>4091</v>
      </c>
      <c r="B1189" s="51">
        <v>20009001112</v>
      </c>
      <c r="C1189" s="52" t="s">
        <v>2879</v>
      </c>
      <c r="D1189" s="52" t="s">
        <v>2131</v>
      </c>
      <c r="E1189" s="52" t="s">
        <v>1970</v>
      </c>
      <c r="F1189" s="52" t="s">
        <v>620</v>
      </c>
      <c r="G1189" s="52" t="s">
        <v>244</v>
      </c>
      <c r="H1189" s="52">
        <v>1</v>
      </c>
    </row>
    <row r="1190" spans="1:8" ht="14.4" x14ac:dyDescent="0.3">
      <c r="A1190" s="50">
        <v>4092</v>
      </c>
      <c r="B1190" s="51">
        <v>20000310010</v>
      </c>
      <c r="C1190" s="52" t="s">
        <v>2880</v>
      </c>
      <c r="D1190" s="52" t="s">
        <v>976</v>
      </c>
      <c r="E1190" s="52" t="s">
        <v>2922</v>
      </c>
      <c r="F1190" s="52" t="s">
        <v>664</v>
      </c>
      <c r="G1190" s="52" t="s">
        <v>244</v>
      </c>
      <c r="H1190" s="52">
        <v>1</v>
      </c>
    </row>
    <row r="1191" spans="1:8" ht="14.4" x14ac:dyDescent="0.3">
      <c r="A1191" s="50">
        <v>4093</v>
      </c>
      <c r="B1191" s="51">
        <v>20000670023</v>
      </c>
      <c r="C1191" s="52" t="s">
        <v>1150</v>
      </c>
      <c r="D1191" s="52" t="s">
        <v>1424</v>
      </c>
      <c r="E1191" s="52" t="s">
        <v>1212</v>
      </c>
      <c r="F1191" s="52" t="s">
        <v>618</v>
      </c>
      <c r="G1191" s="52" t="s">
        <v>213</v>
      </c>
      <c r="H1191" s="52">
        <v>1</v>
      </c>
    </row>
    <row r="1192" spans="1:8" ht="14.4" x14ac:dyDescent="0.3">
      <c r="A1192" s="50">
        <v>4095</v>
      </c>
      <c r="B1192" s="51">
        <v>20000570122</v>
      </c>
      <c r="C1192" s="52" t="s">
        <v>2903</v>
      </c>
      <c r="D1192" s="52" t="s">
        <v>2216</v>
      </c>
      <c r="E1192" s="52" t="s">
        <v>1031</v>
      </c>
      <c r="F1192" s="52" t="s">
        <v>628</v>
      </c>
      <c r="G1192" s="52" t="s">
        <v>244</v>
      </c>
      <c r="H1192" s="52">
        <v>1</v>
      </c>
    </row>
    <row r="1193" spans="1:8" ht="14.4" x14ac:dyDescent="0.3">
      <c r="A1193" s="50">
        <v>4096</v>
      </c>
      <c r="B1193" s="51">
        <v>20020092067</v>
      </c>
      <c r="C1193" s="52" t="s">
        <v>2904</v>
      </c>
      <c r="D1193" s="52" t="s">
        <v>752</v>
      </c>
      <c r="E1193" s="52" t="s">
        <v>2905</v>
      </c>
      <c r="F1193" s="52" t="s">
        <v>628</v>
      </c>
      <c r="G1193" s="52" t="s">
        <v>244</v>
      </c>
      <c r="H1193" s="52">
        <v>1</v>
      </c>
    </row>
    <row r="1194" spans="1:8" ht="14.4" x14ac:dyDescent="0.3">
      <c r="A1194" s="50">
        <v>4097</v>
      </c>
      <c r="B1194" s="51">
        <v>20001052061</v>
      </c>
      <c r="C1194" s="52" t="s">
        <v>2906</v>
      </c>
      <c r="D1194" s="52" t="s">
        <v>2907</v>
      </c>
      <c r="E1194" s="52" t="s">
        <v>1326</v>
      </c>
      <c r="F1194" s="52" t="s">
        <v>1441</v>
      </c>
      <c r="G1194" s="52" t="s">
        <v>213</v>
      </c>
      <c r="H1194" s="52">
        <v>1</v>
      </c>
    </row>
    <row r="1195" spans="1:8" ht="14.4" x14ac:dyDescent="0.3">
      <c r="A1195" s="50">
        <v>4098</v>
      </c>
      <c r="B1195" s="51">
        <v>20051001112</v>
      </c>
      <c r="C1195" s="52" t="s">
        <v>2908</v>
      </c>
      <c r="D1195" s="52" t="s">
        <v>2909</v>
      </c>
      <c r="E1195" s="52" t="s">
        <v>1988</v>
      </c>
      <c r="F1195" s="52" t="s">
        <v>620</v>
      </c>
      <c r="G1195" s="52" t="s">
        <v>213</v>
      </c>
      <c r="H1195" s="52">
        <v>1</v>
      </c>
    </row>
    <row r="1196" spans="1:8" ht="14.4" x14ac:dyDescent="0.3">
      <c r="A1196" s="50">
        <v>4099</v>
      </c>
      <c r="B1196" s="51">
        <v>20009001112</v>
      </c>
      <c r="C1196" s="52" t="s">
        <v>2625</v>
      </c>
      <c r="D1196" s="52" t="s">
        <v>2626</v>
      </c>
      <c r="E1196" s="52" t="s">
        <v>1993</v>
      </c>
      <c r="F1196" s="52" t="s">
        <v>620</v>
      </c>
      <c r="G1196" s="52" t="s">
        <v>213</v>
      </c>
      <c r="H1196" s="52">
        <v>1</v>
      </c>
    </row>
    <row r="1197" spans="1:8" ht="14.4" x14ac:dyDescent="0.3">
      <c r="A1197" s="50">
        <v>4101</v>
      </c>
      <c r="B1197" s="51">
        <v>20001104088</v>
      </c>
      <c r="C1197" s="52" t="s">
        <v>3318</v>
      </c>
      <c r="D1197" s="52" t="s">
        <v>1221</v>
      </c>
      <c r="E1197" s="52" t="s">
        <v>1724</v>
      </c>
      <c r="F1197" s="52" t="s">
        <v>620</v>
      </c>
      <c r="G1197" s="52" t="s">
        <v>213</v>
      </c>
      <c r="H1197" s="52">
        <v>1</v>
      </c>
    </row>
    <row r="1198" spans="1:8" ht="14.4" x14ac:dyDescent="0.3">
      <c r="A1198" s="50">
        <v>4102</v>
      </c>
      <c r="B1198" s="51">
        <v>20001103078</v>
      </c>
      <c r="C1198" s="52" t="s">
        <v>2910</v>
      </c>
      <c r="D1198" s="52" t="s">
        <v>1252</v>
      </c>
      <c r="E1198" s="52" t="s">
        <v>1639</v>
      </c>
      <c r="F1198" s="52" t="s">
        <v>1313</v>
      </c>
      <c r="G1198" s="52" t="s">
        <v>213</v>
      </c>
      <c r="H1198" s="52">
        <v>1</v>
      </c>
    </row>
    <row r="1199" spans="1:8" ht="14.4" x14ac:dyDescent="0.3">
      <c r="A1199" s="50">
        <v>4103</v>
      </c>
      <c r="B1199" s="51">
        <v>20020114013</v>
      </c>
      <c r="C1199" s="52" t="s">
        <v>615</v>
      </c>
      <c r="D1199" s="52" t="s">
        <v>932</v>
      </c>
      <c r="E1199" s="52" t="s">
        <v>2237</v>
      </c>
      <c r="F1199" s="52" t="s">
        <v>1086</v>
      </c>
      <c r="G1199" s="52" t="s">
        <v>244</v>
      </c>
      <c r="H1199" s="52">
        <v>1</v>
      </c>
    </row>
    <row r="1200" spans="1:8" ht="14.4" x14ac:dyDescent="0.3">
      <c r="A1200" s="50">
        <v>4104</v>
      </c>
      <c r="B1200" s="51">
        <v>20000800025</v>
      </c>
      <c r="C1200" s="52" t="s">
        <v>2067</v>
      </c>
      <c r="D1200" s="52" t="s">
        <v>1279</v>
      </c>
      <c r="E1200" s="52" t="s">
        <v>2467</v>
      </c>
      <c r="F1200" s="52" t="s">
        <v>618</v>
      </c>
      <c r="G1200" s="52" t="s">
        <v>244</v>
      </c>
      <c r="H1200" s="52">
        <v>1</v>
      </c>
    </row>
    <row r="1201" spans="1:8" ht="14.4" x14ac:dyDescent="0.3">
      <c r="A1201" s="50">
        <v>4105</v>
      </c>
      <c r="B1201" s="51">
        <v>20063050150</v>
      </c>
      <c r="C1201" s="52" t="s">
        <v>2935</v>
      </c>
      <c r="D1201" s="52" t="s">
        <v>2936</v>
      </c>
      <c r="E1201" s="52" t="s">
        <v>2937</v>
      </c>
      <c r="F1201" s="52" t="s">
        <v>620</v>
      </c>
      <c r="G1201" s="52" t="s">
        <v>244</v>
      </c>
      <c r="H1201" s="52">
        <v>1</v>
      </c>
    </row>
    <row r="1202" spans="1:8" ht="14.4" x14ac:dyDescent="0.3">
      <c r="A1202" s="50">
        <v>4106</v>
      </c>
      <c r="B1202" s="51">
        <v>20001050115</v>
      </c>
      <c r="C1202" s="52" t="s">
        <v>2938</v>
      </c>
      <c r="D1202" s="52" t="s">
        <v>2142</v>
      </c>
      <c r="E1202" s="52" t="s">
        <v>2771</v>
      </c>
      <c r="F1202" s="52" t="s">
        <v>618</v>
      </c>
      <c r="G1202" s="52" t="s">
        <v>244</v>
      </c>
      <c r="H1202" s="52">
        <v>1</v>
      </c>
    </row>
    <row r="1203" spans="1:8" ht="14.4" x14ac:dyDescent="0.3">
      <c r="A1203" s="50">
        <v>4107</v>
      </c>
      <c r="B1203" s="51">
        <v>20001150127</v>
      </c>
      <c r="C1203" s="52" t="s">
        <v>2973</v>
      </c>
      <c r="D1203" s="52" t="s">
        <v>690</v>
      </c>
      <c r="E1203" s="52" t="s">
        <v>3247</v>
      </c>
      <c r="F1203" s="52" t="s">
        <v>618</v>
      </c>
      <c r="G1203" s="52" t="s">
        <v>244</v>
      </c>
      <c r="H1203" s="52">
        <v>1</v>
      </c>
    </row>
    <row r="1204" spans="1:8" ht="14.4" x14ac:dyDescent="0.3">
      <c r="A1204" s="50">
        <v>4108</v>
      </c>
      <c r="B1204" s="51">
        <v>20009001108</v>
      </c>
      <c r="C1204" s="52" t="s">
        <v>691</v>
      </c>
      <c r="D1204" s="52" t="s">
        <v>694</v>
      </c>
      <c r="E1204" s="52" t="s">
        <v>1993</v>
      </c>
      <c r="F1204" s="52" t="s">
        <v>628</v>
      </c>
      <c r="G1204" s="52" t="s">
        <v>213</v>
      </c>
      <c r="H1204" s="52">
        <v>1</v>
      </c>
    </row>
    <row r="1205" spans="1:8" ht="14.4" x14ac:dyDescent="0.3">
      <c r="A1205" s="50">
        <v>4109</v>
      </c>
      <c r="B1205" s="51">
        <v>20020052066</v>
      </c>
      <c r="C1205" s="52" t="s">
        <v>2944</v>
      </c>
      <c r="D1205" s="52" t="s">
        <v>1431</v>
      </c>
      <c r="E1205" s="52" t="s">
        <v>2209</v>
      </c>
      <c r="F1205" s="52" t="s">
        <v>628</v>
      </c>
      <c r="G1205" s="52" t="s">
        <v>244</v>
      </c>
      <c r="H1205" s="52">
        <v>1</v>
      </c>
    </row>
    <row r="1206" spans="1:8" ht="14.4" x14ac:dyDescent="0.3">
      <c r="A1206" s="50">
        <v>4110</v>
      </c>
      <c r="B1206" s="51">
        <v>20001054089</v>
      </c>
      <c r="C1206" s="52" t="s">
        <v>2974</v>
      </c>
      <c r="D1206" s="52" t="s">
        <v>1939</v>
      </c>
      <c r="E1206" s="52" t="s">
        <v>1326</v>
      </c>
      <c r="F1206" s="52" t="s">
        <v>1086</v>
      </c>
      <c r="G1206" s="52" t="s">
        <v>213</v>
      </c>
      <c r="H1206" s="52">
        <v>1</v>
      </c>
    </row>
    <row r="1207" spans="1:8" ht="14.4" x14ac:dyDescent="0.3">
      <c r="A1207" s="50">
        <v>4112</v>
      </c>
      <c r="B1207" s="51">
        <v>20009001109</v>
      </c>
      <c r="C1207" s="52" t="s">
        <v>2945</v>
      </c>
      <c r="D1207" s="52" t="s">
        <v>2946</v>
      </c>
      <c r="E1207" s="52" t="s">
        <v>1970</v>
      </c>
      <c r="F1207" s="52" t="s">
        <v>1532</v>
      </c>
      <c r="G1207" s="52" t="s">
        <v>244</v>
      </c>
      <c r="H1207" s="52">
        <v>1</v>
      </c>
    </row>
    <row r="1208" spans="1:8" ht="14.4" x14ac:dyDescent="0.3">
      <c r="A1208" s="50">
        <v>4113</v>
      </c>
      <c r="B1208" s="51">
        <v>20000310010</v>
      </c>
      <c r="C1208" s="52" t="s">
        <v>2947</v>
      </c>
      <c r="D1208" s="52" t="s">
        <v>1872</v>
      </c>
      <c r="E1208" s="52" t="s">
        <v>2929</v>
      </c>
      <c r="F1208" s="52" t="s">
        <v>664</v>
      </c>
      <c r="G1208" s="52" t="s">
        <v>244</v>
      </c>
      <c r="H1208" s="52">
        <v>0.5</v>
      </c>
    </row>
    <row r="1209" spans="1:8" ht="14.4" x14ac:dyDescent="0.3">
      <c r="A1209" s="50">
        <v>4114</v>
      </c>
      <c r="B1209" s="51">
        <v>20001260017</v>
      </c>
      <c r="C1209" s="52" t="s">
        <v>1472</v>
      </c>
      <c r="D1209" s="52" t="s">
        <v>2975</v>
      </c>
      <c r="E1209" s="52" t="s">
        <v>2976</v>
      </c>
      <c r="F1209" s="52" t="s">
        <v>618</v>
      </c>
      <c r="G1209" s="52" t="s">
        <v>213</v>
      </c>
      <c r="H1209" s="52">
        <v>1</v>
      </c>
    </row>
    <row r="1210" spans="1:8" ht="14.4" x14ac:dyDescent="0.3">
      <c r="A1210" s="50">
        <v>4115</v>
      </c>
      <c r="B1210" s="51">
        <v>20001054085</v>
      </c>
      <c r="C1210" s="52" t="s">
        <v>2977</v>
      </c>
      <c r="D1210" s="52" t="s">
        <v>2168</v>
      </c>
      <c r="E1210" s="52" t="s">
        <v>1326</v>
      </c>
      <c r="F1210" s="52" t="s">
        <v>620</v>
      </c>
      <c r="G1210" s="52" t="s">
        <v>213</v>
      </c>
      <c r="H1210" s="52">
        <v>1</v>
      </c>
    </row>
    <row r="1211" spans="1:8" ht="14.4" x14ac:dyDescent="0.3">
      <c r="A1211" s="50">
        <v>4116</v>
      </c>
      <c r="B1211" s="51">
        <v>20001054085</v>
      </c>
      <c r="C1211" s="52" t="s">
        <v>2978</v>
      </c>
      <c r="D1211" s="52" t="s">
        <v>2979</v>
      </c>
      <c r="E1211" s="52" t="s">
        <v>1326</v>
      </c>
      <c r="F1211" s="52" t="s">
        <v>620</v>
      </c>
      <c r="G1211" s="52" t="s">
        <v>244</v>
      </c>
      <c r="H1211" s="52">
        <v>1</v>
      </c>
    </row>
    <row r="1212" spans="1:8" ht="14.4" x14ac:dyDescent="0.3">
      <c r="A1212" s="50">
        <v>4117</v>
      </c>
      <c r="B1212" s="51">
        <v>20000310010</v>
      </c>
      <c r="C1212" s="52" t="s">
        <v>2980</v>
      </c>
      <c r="D1212" s="52" t="s">
        <v>818</v>
      </c>
      <c r="E1212" s="52" t="s">
        <v>2922</v>
      </c>
      <c r="F1212" s="52" t="s">
        <v>664</v>
      </c>
      <c r="G1212" s="52" t="s">
        <v>213</v>
      </c>
      <c r="H1212" s="52">
        <v>1</v>
      </c>
    </row>
    <row r="1213" spans="1:8" ht="14.4" x14ac:dyDescent="0.3">
      <c r="A1213" s="50">
        <v>4118</v>
      </c>
      <c r="B1213" s="51">
        <v>20000830030</v>
      </c>
      <c r="C1213" s="52" t="s">
        <v>1262</v>
      </c>
      <c r="D1213" s="52" t="s">
        <v>2981</v>
      </c>
      <c r="E1213" s="52" t="s">
        <v>2982</v>
      </c>
      <c r="F1213" s="52" t="s">
        <v>618</v>
      </c>
      <c r="G1213" s="52" t="s">
        <v>244</v>
      </c>
      <c r="H1213" s="52">
        <v>1</v>
      </c>
    </row>
    <row r="1214" spans="1:8" ht="14.4" x14ac:dyDescent="0.3">
      <c r="A1214" s="50">
        <v>4120</v>
      </c>
      <c r="B1214" s="51">
        <v>20009001112</v>
      </c>
      <c r="C1214" s="52" t="s">
        <v>2998</v>
      </c>
      <c r="D1214" s="52" t="s">
        <v>1980</v>
      </c>
      <c r="E1214" s="52" t="s">
        <v>1993</v>
      </c>
      <c r="F1214" s="52" t="s">
        <v>620</v>
      </c>
      <c r="G1214" s="52" t="s">
        <v>244</v>
      </c>
      <c r="H1214" s="52">
        <v>1</v>
      </c>
    </row>
    <row r="1215" spans="1:8" ht="14.4" x14ac:dyDescent="0.3">
      <c r="A1215" s="50">
        <v>4121</v>
      </c>
      <c r="B1215" s="51">
        <v>20001104088</v>
      </c>
      <c r="C1215" s="52" t="s">
        <v>2994</v>
      </c>
      <c r="D1215" s="52" t="s">
        <v>2995</v>
      </c>
      <c r="E1215" s="52" t="s">
        <v>1642</v>
      </c>
      <c r="F1215" s="52" t="s">
        <v>620</v>
      </c>
      <c r="G1215" s="52" t="s">
        <v>213</v>
      </c>
      <c r="H1215" s="52">
        <v>1</v>
      </c>
    </row>
    <row r="1216" spans="1:8" ht="14.4" x14ac:dyDescent="0.3">
      <c r="A1216" s="50">
        <v>4122</v>
      </c>
      <c r="B1216" s="51">
        <v>20001102072</v>
      </c>
      <c r="C1216" s="52" t="s">
        <v>2993</v>
      </c>
      <c r="D1216" s="52" t="s">
        <v>785</v>
      </c>
      <c r="E1216" s="52" t="s">
        <v>1642</v>
      </c>
      <c r="F1216" s="52" t="s">
        <v>1532</v>
      </c>
      <c r="G1216" s="52" t="s">
        <v>244</v>
      </c>
      <c r="H1216" s="52">
        <v>1</v>
      </c>
    </row>
    <row r="1217" spans="1:8" ht="14.4" x14ac:dyDescent="0.3">
      <c r="A1217" s="50">
        <v>4123</v>
      </c>
      <c r="B1217" s="51">
        <v>20000110105</v>
      </c>
      <c r="C1217" s="52" t="s">
        <v>2987</v>
      </c>
      <c r="D1217" s="52" t="s">
        <v>2119</v>
      </c>
      <c r="E1217" s="52" t="s">
        <v>633</v>
      </c>
      <c r="F1217" s="52" t="s">
        <v>628</v>
      </c>
      <c r="G1217" s="52" t="s">
        <v>213</v>
      </c>
      <c r="H1217" s="52">
        <v>1</v>
      </c>
    </row>
    <row r="1218" spans="1:8" ht="14.4" x14ac:dyDescent="0.3">
      <c r="A1218" s="50">
        <v>4124</v>
      </c>
      <c r="B1218" s="51">
        <v>20001260017</v>
      </c>
      <c r="C1218" s="52" t="s">
        <v>2996</v>
      </c>
      <c r="D1218" s="52" t="s">
        <v>2997</v>
      </c>
      <c r="E1218" s="52" t="s">
        <v>1895</v>
      </c>
      <c r="F1218" s="52" t="s">
        <v>618</v>
      </c>
      <c r="G1218" s="52" t="s">
        <v>244</v>
      </c>
      <c r="H1218" s="52">
        <v>1</v>
      </c>
    </row>
    <row r="1219" spans="1:8" ht="14.4" x14ac:dyDescent="0.3">
      <c r="A1219" s="50">
        <v>4125</v>
      </c>
      <c r="B1219" s="51">
        <v>20000310010</v>
      </c>
      <c r="C1219" s="52" t="s">
        <v>2988</v>
      </c>
      <c r="D1219" s="52" t="s">
        <v>2989</v>
      </c>
      <c r="E1219" s="52" t="s">
        <v>2922</v>
      </c>
      <c r="F1219" s="52" t="s">
        <v>664</v>
      </c>
      <c r="G1219" s="52" t="s">
        <v>244</v>
      </c>
      <c r="H1219" s="52">
        <v>1</v>
      </c>
    </row>
    <row r="1220" spans="1:8" ht="14.4" x14ac:dyDescent="0.3">
      <c r="A1220" s="50">
        <v>4126</v>
      </c>
      <c r="B1220" s="51">
        <v>20001052065</v>
      </c>
      <c r="C1220" s="52" t="s">
        <v>3039</v>
      </c>
      <c r="D1220" s="52" t="s">
        <v>3040</v>
      </c>
      <c r="E1220" s="52" t="s">
        <v>1326</v>
      </c>
      <c r="F1220" s="52" t="s">
        <v>628</v>
      </c>
      <c r="G1220" s="52" t="s">
        <v>213</v>
      </c>
      <c r="H1220" s="52">
        <v>1</v>
      </c>
    </row>
    <row r="1221" spans="1:8" ht="14.4" x14ac:dyDescent="0.3">
      <c r="A1221" s="50">
        <v>4127</v>
      </c>
      <c r="B1221" s="51">
        <v>20020114013</v>
      </c>
      <c r="C1221" s="52" t="s">
        <v>3001</v>
      </c>
      <c r="D1221" s="52" t="s">
        <v>3002</v>
      </c>
      <c r="E1221" s="52" t="s">
        <v>2237</v>
      </c>
      <c r="F1221" s="52" t="s">
        <v>1086</v>
      </c>
      <c r="G1221" s="52" t="s">
        <v>244</v>
      </c>
      <c r="H1221" s="52">
        <v>1</v>
      </c>
    </row>
    <row r="1222" spans="1:8" ht="14.4" x14ac:dyDescent="0.3">
      <c r="A1222" s="50">
        <v>4128</v>
      </c>
      <c r="B1222" s="51">
        <v>20000110105</v>
      </c>
      <c r="C1222" s="52" t="s">
        <v>3041</v>
      </c>
      <c r="D1222" s="52" t="s">
        <v>3042</v>
      </c>
      <c r="E1222" s="52" t="s">
        <v>633</v>
      </c>
      <c r="F1222" s="52" t="s">
        <v>628</v>
      </c>
      <c r="G1222" s="52" t="s">
        <v>244</v>
      </c>
      <c r="H1222" s="52">
        <v>1</v>
      </c>
    </row>
    <row r="1223" spans="1:8" ht="14.4" x14ac:dyDescent="0.3">
      <c r="A1223" s="50">
        <v>4129</v>
      </c>
      <c r="B1223" s="51">
        <v>20001102068</v>
      </c>
      <c r="C1223" s="52" t="s">
        <v>3043</v>
      </c>
      <c r="D1223" s="52" t="s">
        <v>3044</v>
      </c>
      <c r="E1223" s="52" t="s">
        <v>1631</v>
      </c>
      <c r="F1223" s="52" t="s">
        <v>628</v>
      </c>
      <c r="G1223" s="52" t="s">
        <v>244</v>
      </c>
      <c r="H1223" s="52">
        <v>1</v>
      </c>
    </row>
    <row r="1224" spans="1:8" ht="14.4" x14ac:dyDescent="0.3">
      <c r="A1224" s="50">
        <v>4130</v>
      </c>
      <c r="B1224" s="51">
        <v>20000570009</v>
      </c>
      <c r="C1224" s="52" t="s">
        <v>3045</v>
      </c>
      <c r="D1224" s="52" t="s">
        <v>3046</v>
      </c>
      <c r="E1224" s="52" t="s">
        <v>3047</v>
      </c>
      <c r="F1224" s="52" t="s">
        <v>628</v>
      </c>
      <c r="G1224" s="52" t="s">
        <v>213</v>
      </c>
      <c r="H1224" s="52">
        <v>1</v>
      </c>
    </row>
    <row r="1225" spans="1:8" ht="14.4" x14ac:dyDescent="0.3">
      <c r="A1225" s="50">
        <v>4131</v>
      </c>
      <c r="B1225" s="51">
        <v>20000570009</v>
      </c>
      <c r="C1225" s="52" t="s">
        <v>3061</v>
      </c>
      <c r="D1225" s="52" t="s">
        <v>3062</v>
      </c>
      <c r="E1225" s="52" t="s">
        <v>1049</v>
      </c>
      <c r="F1225" s="52" t="s">
        <v>618</v>
      </c>
      <c r="G1225" s="52" t="s">
        <v>213</v>
      </c>
      <c r="H1225" s="52">
        <v>1</v>
      </c>
    </row>
    <row r="1226" spans="1:8" ht="14.4" x14ac:dyDescent="0.3">
      <c r="A1226" s="50">
        <v>4132</v>
      </c>
      <c r="B1226" s="51">
        <v>20009001110</v>
      </c>
      <c r="C1226" s="52" t="s">
        <v>3048</v>
      </c>
      <c r="D1226" s="52" t="s">
        <v>852</v>
      </c>
      <c r="E1226" s="52" t="s">
        <v>1970</v>
      </c>
      <c r="F1226" s="52" t="s">
        <v>1313</v>
      </c>
      <c r="G1226" s="52" t="s">
        <v>213</v>
      </c>
      <c r="H1226" s="52">
        <v>1</v>
      </c>
    </row>
    <row r="1227" spans="1:8" ht="14.4" x14ac:dyDescent="0.3">
      <c r="A1227" s="50">
        <v>4133</v>
      </c>
      <c r="B1227" s="51">
        <v>20000360010</v>
      </c>
      <c r="C1227" s="52" t="s">
        <v>3063</v>
      </c>
      <c r="D1227" s="52" t="s">
        <v>1282</v>
      </c>
      <c r="E1227" s="52" t="s">
        <v>3064</v>
      </c>
      <c r="F1227" s="52" t="s">
        <v>664</v>
      </c>
      <c r="G1227" s="52" t="s">
        <v>244</v>
      </c>
      <c r="H1227" s="52">
        <v>1</v>
      </c>
    </row>
    <row r="1228" spans="1:8" ht="14.4" x14ac:dyDescent="0.3">
      <c r="A1228" s="50">
        <v>4134</v>
      </c>
      <c r="B1228" s="51">
        <v>20009001108</v>
      </c>
      <c r="C1228" s="52" t="s">
        <v>3065</v>
      </c>
      <c r="D1228" s="52" t="s">
        <v>3066</v>
      </c>
      <c r="E1228" s="52" t="s">
        <v>1970</v>
      </c>
      <c r="F1228" s="52" t="s">
        <v>628</v>
      </c>
      <c r="G1228" s="52" t="s">
        <v>213</v>
      </c>
      <c r="H1228" s="52">
        <v>1</v>
      </c>
    </row>
    <row r="1229" spans="1:8" ht="14.4" x14ac:dyDescent="0.3">
      <c r="A1229" s="50">
        <v>4135</v>
      </c>
      <c r="B1229" s="51">
        <v>20009001108</v>
      </c>
      <c r="C1229" s="52" t="s">
        <v>3067</v>
      </c>
      <c r="D1229" s="52" t="s">
        <v>785</v>
      </c>
      <c r="E1229" s="52" t="s">
        <v>1970</v>
      </c>
      <c r="F1229" s="52" t="s">
        <v>628</v>
      </c>
      <c r="G1229" s="52" t="s">
        <v>213</v>
      </c>
      <c r="H1229" s="52">
        <v>1</v>
      </c>
    </row>
    <row r="1230" spans="1:8" ht="14.4" x14ac:dyDescent="0.3">
      <c r="A1230" s="50">
        <v>4136</v>
      </c>
      <c r="B1230" s="51">
        <v>20000330010</v>
      </c>
      <c r="C1230" s="52" t="s">
        <v>3068</v>
      </c>
      <c r="D1230" s="52" t="s">
        <v>672</v>
      </c>
      <c r="E1230" s="52" t="s">
        <v>3171</v>
      </c>
      <c r="F1230" s="52" t="s">
        <v>664</v>
      </c>
      <c r="G1230" s="52" t="s">
        <v>244</v>
      </c>
      <c r="H1230" s="52">
        <v>1</v>
      </c>
    </row>
    <row r="1231" spans="1:8" ht="14.4" x14ac:dyDescent="0.3">
      <c r="A1231" s="50">
        <v>4137</v>
      </c>
      <c r="B1231" s="51">
        <v>20001054085</v>
      </c>
      <c r="C1231" s="52" t="s">
        <v>3075</v>
      </c>
      <c r="D1231" s="52" t="s">
        <v>1566</v>
      </c>
      <c r="E1231" s="52" t="s">
        <v>1326</v>
      </c>
      <c r="F1231" s="52" t="s">
        <v>620</v>
      </c>
      <c r="G1231" s="52" t="s">
        <v>213</v>
      </c>
      <c r="H1231" s="52">
        <v>1</v>
      </c>
    </row>
    <row r="1232" spans="1:8" ht="14.4" x14ac:dyDescent="0.3">
      <c r="A1232" s="50">
        <v>4138</v>
      </c>
      <c r="B1232" s="51">
        <v>20001054112</v>
      </c>
      <c r="C1232" s="52" t="s">
        <v>3076</v>
      </c>
      <c r="D1232" s="52" t="s">
        <v>852</v>
      </c>
      <c r="E1232" s="52" t="s">
        <v>3074</v>
      </c>
      <c r="F1232" s="52" t="s">
        <v>628</v>
      </c>
      <c r="G1232" s="52" t="s">
        <v>244</v>
      </c>
      <c r="H1232" s="52">
        <v>1</v>
      </c>
    </row>
    <row r="1233" spans="1:8" ht="14.4" x14ac:dyDescent="0.3">
      <c r="A1233" s="50">
        <v>4139</v>
      </c>
      <c r="B1233" s="51">
        <v>20001054112</v>
      </c>
      <c r="C1233" s="52" t="s">
        <v>3077</v>
      </c>
      <c r="D1233" s="52" t="s">
        <v>1055</v>
      </c>
      <c r="E1233" s="52" t="s">
        <v>3074</v>
      </c>
      <c r="F1233" s="52" t="s">
        <v>1532</v>
      </c>
      <c r="G1233" s="52" t="s">
        <v>244</v>
      </c>
      <c r="H1233" s="52">
        <v>0.5</v>
      </c>
    </row>
    <row r="1234" spans="1:8" ht="14.4" x14ac:dyDescent="0.3">
      <c r="A1234" s="50">
        <v>4140</v>
      </c>
      <c r="B1234" s="51">
        <v>20000920001</v>
      </c>
      <c r="C1234" s="52" t="s">
        <v>1044</v>
      </c>
      <c r="D1234" s="52" t="s">
        <v>1082</v>
      </c>
      <c r="E1234" s="52" t="s">
        <v>1290</v>
      </c>
      <c r="F1234" s="52" t="s">
        <v>618</v>
      </c>
      <c r="G1234" s="52" t="s">
        <v>213</v>
      </c>
      <c r="H1234" s="52">
        <v>1</v>
      </c>
    </row>
    <row r="1235" spans="1:8" ht="14.4" x14ac:dyDescent="0.3">
      <c r="A1235" s="50">
        <v>4141</v>
      </c>
      <c r="B1235" s="51">
        <v>20001052065</v>
      </c>
      <c r="C1235" s="52" t="s">
        <v>3099</v>
      </c>
      <c r="D1235" s="52" t="s">
        <v>3100</v>
      </c>
      <c r="E1235" s="52" t="s">
        <v>1326</v>
      </c>
      <c r="F1235" s="52" t="s">
        <v>628</v>
      </c>
      <c r="G1235" s="52" t="s">
        <v>244</v>
      </c>
      <c r="H1235" s="52">
        <v>1</v>
      </c>
    </row>
    <row r="1236" spans="1:8" ht="14.4" x14ac:dyDescent="0.3">
      <c r="A1236" s="50">
        <v>4142</v>
      </c>
      <c r="B1236" s="51">
        <v>20009001112</v>
      </c>
      <c r="C1236" s="52" t="s">
        <v>3106</v>
      </c>
      <c r="D1236" s="52" t="s">
        <v>2230</v>
      </c>
      <c r="E1236" s="52" t="s">
        <v>1993</v>
      </c>
      <c r="F1236" s="52" t="s">
        <v>620</v>
      </c>
      <c r="G1236" s="52" t="s">
        <v>244</v>
      </c>
      <c r="H1236" s="52">
        <v>1</v>
      </c>
    </row>
    <row r="1237" spans="1:8" ht="14.4" x14ac:dyDescent="0.3">
      <c r="A1237" s="50">
        <v>4143</v>
      </c>
      <c r="B1237" s="51">
        <v>20009001109</v>
      </c>
      <c r="C1237" s="52" t="s">
        <v>1285</v>
      </c>
      <c r="D1237" s="52" t="s">
        <v>868</v>
      </c>
      <c r="E1237" s="52" t="s">
        <v>1970</v>
      </c>
      <c r="F1237" s="52" t="s">
        <v>1532</v>
      </c>
      <c r="G1237" s="52" t="s">
        <v>213</v>
      </c>
      <c r="H1237" s="52">
        <v>1</v>
      </c>
    </row>
    <row r="1238" spans="1:8" ht="14.4" x14ac:dyDescent="0.3">
      <c r="A1238" s="50">
        <v>4144</v>
      </c>
      <c r="B1238" s="51">
        <v>20020092067</v>
      </c>
      <c r="C1238" s="52" t="s">
        <v>3101</v>
      </c>
      <c r="D1238" s="52" t="s">
        <v>923</v>
      </c>
      <c r="E1238" s="52" t="s">
        <v>2905</v>
      </c>
      <c r="F1238" s="52" t="s">
        <v>628</v>
      </c>
      <c r="G1238" s="52" t="s">
        <v>213</v>
      </c>
      <c r="H1238" s="52">
        <v>1</v>
      </c>
    </row>
    <row r="1239" spans="1:8" ht="14.4" x14ac:dyDescent="0.3">
      <c r="A1239" s="50">
        <v>4145</v>
      </c>
      <c r="B1239" s="51">
        <v>20000300130</v>
      </c>
      <c r="C1239" s="52" t="s">
        <v>807</v>
      </c>
      <c r="D1239" s="52" t="s">
        <v>3097</v>
      </c>
      <c r="E1239" s="52" t="s">
        <v>1901</v>
      </c>
      <c r="F1239" s="52" t="s">
        <v>618</v>
      </c>
      <c r="G1239" s="52" t="s">
        <v>213</v>
      </c>
      <c r="H1239" s="52">
        <v>1</v>
      </c>
    </row>
    <row r="1240" spans="1:8" ht="14.4" x14ac:dyDescent="0.3">
      <c r="A1240" s="50">
        <v>4146</v>
      </c>
      <c r="B1240" s="51">
        <v>20009001108</v>
      </c>
      <c r="C1240" s="52" t="s">
        <v>1518</v>
      </c>
      <c r="D1240" s="52" t="s">
        <v>3105</v>
      </c>
      <c r="E1240" s="52" t="s">
        <v>1993</v>
      </c>
      <c r="F1240" s="52" t="s">
        <v>628</v>
      </c>
      <c r="G1240" s="52" t="s">
        <v>213</v>
      </c>
      <c r="H1240" s="52">
        <v>1</v>
      </c>
    </row>
    <row r="1241" spans="1:8" ht="14.4" x14ac:dyDescent="0.3">
      <c r="A1241" s="50">
        <v>4147</v>
      </c>
      <c r="B1241" s="51">
        <v>20001140004</v>
      </c>
      <c r="C1241" s="52" t="s">
        <v>2997</v>
      </c>
      <c r="D1241" s="52" t="s">
        <v>668</v>
      </c>
      <c r="E1241" s="52" t="s">
        <v>1843</v>
      </c>
      <c r="F1241" s="52" t="s">
        <v>618</v>
      </c>
      <c r="G1241" s="52" t="s">
        <v>244</v>
      </c>
      <c r="H1241" s="52">
        <v>1</v>
      </c>
    </row>
    <row r="1242" spans="1:8" ht="14.4" x14ac:dyDescent="0.3">
      <c r="A1242" s="50">
        <v>4148</v>
      </c>
      <c r="B1242" s="51">
        <v>20001104088</v>
      </c>
      <c r="C1242" s="52" t="s">
        <v>3119</v>
      </c>
      <c r="D1242" s="52" t="s">
        <v>1563</v>
      </c>
      <c r="E1242" s="52" t="s">
        <v>1799</v>
      </c>
      <c r="F1242" s="52" t="s">
        <v>620</v>
      </c>
      <c r="G1242" s="52" t="s">
        <v>213</v>
      </c>
      <c r="H1242" s="52">
        <v>1</v>
      </c>
    </row>
    <row r="1243" spans="1:8" ht="14.4" x14ac:dyDescent="0.3">
      <c r="A1243" s="50">
        <v>4149</v>
      </c>
      <c r="B1243" s="51">
        <v>20001102068</v>
      </c>
      <c r="C1243" s="52" t="s">
        <v>3120</v>
      </c>
      <c r="D1243" s="52" t="s">
        <v>1265</v>
      </c>
      <c r="E1243" s="52" t="s">
        <v>3839</v>
      </c>
      <c r="F1243" s="52" t="s">
        <v>628</v>
      </c>
      <c r="G1243" s="52" t="s">
        <v>213</v>
      </c>
      <c r="H1243" s="52">
        <v>1</v>
      </c>
    </row>
    <row r="1244" spans="1:8" ht="14.4" x14ac:dyDescent="0.3">
      <c r="A1244" s="50">
        <v>4150</v>
      </c>
      <c r="B1244" s="51">
        <v>20000950132</v>
      </c>
      <c r="C1244" s="52" t="s">
        <v>3148</v>
      </c>
      <c r="D1244" s="52" t="s">
        <v>1474</v>
      </c>
      <c r="E1244" s="52" t="s">
        <v>2754</v>
      </c>
      <c r="F1244" s="52" t="s">
        <v>2765</v>
      </c>
      <c r="G1244" s="52" t="s">
        <v>213</v>
      </c>
      <c r="H1244" s="52">
        <v>1</v>
      </c>
    </row>
    <row r="1245" spans="1:8" ht="14.4" x14ac:dyDescent="0.3">
      <c r="A1245" s="50">
        <v>4151</v>
      </c>
      <c r="B1245" s="51">
        <v>20020112073</v>
      </c>
      <c r="C1245" s="52" t="s">
        <v>3149</v>
      </c>
      <c r="D1245" s="52" t="s">
        <v>1004</v>
      </c>
      <c r="E1245" s="52" t="s">
        <v>2263</v>
      </c>
      <c r="F1245" s="52" t="s">
        <v>628</v>
      </c>
      <c r="G1245" s="52" t="s">
        <v>213</v>
      </c>
      <c r="H1245" s="52">
        <v>1</v>
      </c>
    </row>
    <row r="1246" spans="1:8" ht="14.4" x14ac:dyDescent="0.3">
      <c r="A1246" s="50">
        <v>4153</v>
      </c>
      <c r="B1246" s="51">
        <v>20001102072</v>
      </c>
      <c r="C1246" s="52" t="s">
        <v>3150</v>
      </c>
      <c r="D1246" s="52" t="s">
        <v>3151</v>
      </c>
      <c r="E1246" s="52" t="s">
        <v>1642</v>
      </c>
      <c r="F1246" s="52" t="s">
        <v>1532</v>
      </c>
      <c r="G1246" s="52" t="s">
        <v>213</v>
      </c>
      <c r="H1246" s="52">
        <v>1</v>
      </c>
    </row>
    <row r="1247" spans="1:8" ht="14.4" x14ac:dyDescent="0.3">
      <c r="A1247" s="50">
        <v>4156</v>
      </c>
      <c r="B1247" s="51">
        <v>20000330010</v>
      </c>
      <c r="C1247" s="52" t="s">
        <v>3152</v>
      </c>
      <c r="D1247" s="52" t="s">
        <v>1476</v>
      </c>
      <c r="E1247" s="52" t="s">
        <v>2930</v>
      </c>
      <c r="F1247" s="52" t="s">
        <v>664</v>
      </c>
      <c r="G1247" s="52" t="s">
        <v>244</v>
      </c>
      <c r="H1247" s="52">
        <v>1</v>
      </c>
    </row>
    <row r="1248" spans="1:8" ht="14.4" x14ac:dyDescent="0.3">
      <c r="A1248" s="50">
        <v>4157</v>
      </c>
      <c r="B1248" s="51">
        <v>20000550020</v>
      </c>
      <c r="C1248" s="52" t="s">
        <v>3153</v>
      </c>
      <c r="D1248" s="52" t="s">
        <v>3154</v>
      </c>
      <c r="E1248" s="52" t="s">
        <v>3729</v>
      </c>
      <c r="F1248" s="52" t="s">
        <v>618</v>
      </c>
      <c r="G1248" s="52" t="s">
        <v>213</v>
      </c>
      <c r="H1248" s="52">
        <v>1</v>
      </c>
    </row>
    <row r="1249" spans="1:8" ht="14.4" x14ac:dyDescent="0.3">
      <c r="A1249" s="50">
        <v>4159</v>
      </c>
      <c r="B1249" s="51">
        <v>20001140000</v>
      </c>
      <c r="C1249" s="52" t="s">
        <v>3238</v>
      </c>
      <c r="D1249" s="52" t="s">
        <v>3239</v>
      </c>
      <c r="E1249" s="52" t="s">
        <v>1290</v>
      </c>
      <c r="F1249" s="52" t="s">
        <v>618</v>
      </c>
      <c r="G1249" s="52" t="s">
        <v>213</v>
      </c>
      <c r="H1249" s="52">
        <v>1</v>
      </c>
    </row>
    <row r="1250" spans="1:8" ht="14.4" x14ac:dyDescent="0.3">
      <c r="A1250" s="50">
        <v>4160</v>
      </c>
      <c r="B1250" s="51">
        <v>20000550020</v>
      </c>
      <c r="C1250" s="52" t="s">
        <v>3193</v>
      </c>
      <c r="D1250" s="52" t="s">
        <v>1071</v>
      </c>
      <c r="E1250" s="52" t="s">
        <v>3194</v>
      </c>
      <c r="F1250" s="52" t="s">
        <v>618</v>
      </c>
      <c r="G1250" s="52" t="s">
        <v>145</v>
      </c>
      <c r="H1250" s="52">
        <v>1</v>
      </c>
    </row>
    <row r="1251" spans="1:8" ht="14.4" x14ac:dyDescent="0.3">
      <c r="A1251" s="50">
        <v>4161</v>
      </c>
      <c r="B1251" s="51">
        <v>20009001113</v>
      </c>
      <c r="C1251" s="52" t="s">
        <v>2226</v>
      </c>
      <c r="D1251" s="52" t="s">
        <v>1814</v>
      </c>
      <c r="E1251" s="52" t="s">
        <v>1970</v>
      </c>
      <c r="F1251" s="52" t="s">
        <v>1086</v>
      </c>
      <c r="G1251" s="52" t="s">
        <v>213</v>
      </c>
      <c r="H1251" s="52">
        <v>1</v>
      </c>
    </row>
    <row r="1252" spans="1:8" ht="14.4" x14ac:dyDescent="0.3">
      <c r="A1252" s="50">
        <v>4162</v>
      </c>
      <c r="B1252" s="51">
        <v>20020120015</v>
      </c>
      <c r="C1252" s="52" t="s">
        <v>3162</v>
      </c>
      <c r="D1252" s="52" t="s">
        <v>1121</v>
      </c>
      <c r="E1252" s="52" t="s">
        <v>2237</v>
      </c>
      <c r="F1252" s="52" t="s">
        <v>618</v>
      </c>
      <c r="G1252" s="52" t="s">
        <v>145</v>
      </c>
      <c r="H1252" s="52">
        <v>1</v>
      </c>
    </row>
    <row r="1253" spans="1:8" ht="14.4" x14ac:dyDescent="0.3">
      <c r="A1253" s="50">
        <v>4163</v>
      </c>
      <c r="B1253" s="51">
        <v>20000310010</v>
      </c>
      <c r="C1253" s="52" t="s">
        <v>3319</v>
      </c>
      <c r="D1253" s="52" t="s">
        <v>3195</v>
      </c>
      <c r="E1253" s="52" t="s">
        <v>3172</v>
      </c>
      <c r="F1253" s="52" t="s">
        <v>664</v>
      </c>
      <c r="G1253" s="52" t="s">
        <v>244</v>
      </c>
      <c r="H1253" s="52">
        <v>1</v>
      </c>
    </row>
    <row r="1254" spans="1:8" ht="14.4" x14ac:dyDescent="0.3">
      <c r="A1254" s="50">
        <v>4164</v>
      </c>
      <c r="B1254" s="51">
        <v>20000110106</v>
      </c>
      <c r="C1254" s="52" t="s">
        <v>3219</v>
      </c>
      <c r="D1254" s="52" t="s">
        <v>1830</v>
      </c>
      <c r="E1254" s="52" t="s">
        <v>633</v>
      </c>
      <c r="F1254" s="52" t="s">
        <v>620</v>
      </c>
      <c r="G1254" s="52" t="s">
        <v>145</v>
      </c>
      <c r="H1254" s="52">
        <v>1</v>
      </c>
    </row>
    <row r="1255" spans="1:8" ht="14.4" x14ac:dyDescent="0.3">
      <c r="A1255" s="50">
        <v>4165</v>
      </c>
      <c r="B1255" s="51">
        <v>20060110034</v>
      </c>
      <c r="C1255" s="52" t="s">
        <v>2360</v>
      </c>
      <c r="D1255" s="52" t="s">
        <v>3220</v>
      </c>
      <c r="E1255" s="52" t="s">
        <v>3462</v>
      </c>
      <c r="F1255" s="52" t="s">
        <v>628</v>
      </c>
      <c r="G1255" s="52" t="s">
        <v>244</v>
      </c>
      <c r="H1255" s="52">
        <v>1</v>
      </c>
    </row>
    <row r="1256" spans="1:8" ht="14.4" x14ac:dyDescent="0.3">
      <c r="A1256" s="50">
        <v>4166</v>
      </c>
      <c r="B1256" s="51">
        <v>20001054085</v>
      </c>
      <c r="C1256" s="52" t="s">
        <v>3221</v>
      </c>
      <c r="D1256" s="52" t="s">
        <v>1810</v>
      </c>
      <c r="E1256" s="52" t="s">
        <v>1468</v>
      </c>
      <c r="F1256" s="52" t="s">
        <v>620</v>
      </c>
      <c r="G1256" s="52" t="s">
        <v>244</v>
      </c>
      <c r="H1256" s="52">
        <v>1</v>
      </c>
    </row>
    <row r="1257" spans="1:8" ht="14.4" x14ac:dyDescent="0.3">
      <c r="A1257" s="50">
        <v>4167</v>
      </c>
      <c r="B1257" s="51">
        <v>20020094091</v>
      </c>
      <c r="C1257" s="52" t="s">
        <v>3222</v>
      </c>
      <c r="D1257" s="52" t="s">
        <v>1618</v>
      </c>
      <c r="E1257" s="52" t="s">
        <v>2237</v>
      </c>
      <c r="F1257" s="52" t="s">
        <v>1086</v>
      </c>
      <c r="G1257" s="52" t="s">
        <v>244</v>
      </c>
      <c r="H1257" s="52">
        <v>0.5</v>
      </c>
    </row>
    <row r="1258" spans="1:8" ht="14.4" x14ac:dyDescent="0.3">
      <c r="A1258" s="50">
        <v>4169</v>
      </c>
      <c r="B1258" s="51">
        <v>20000330010</v>
      </c>
      <c r="C1258" s="52" t="s">
        <v>1521</v>
      </c>
      <c r="D1258" s="52" t="s">
        <v>3115</v>
      </c>
      <c r="E1258" s="52" t="s">
        <v>3798</v>
      </c>
      <c r="F1258" s="52" t="s">
        <v>664</v>
      </c>
      <c r="G1258" s="52" t="s">
        <v>213</v>
      </c>
      <c r="H1258" s="52">
        <v>1</v>
      </c>
    </row>
    <row r="1259" spans="1:8" ht="14.4" x14ac:dyDescent="0.3">
      <c r="A1259" s="50">
        <v>4170</v>
      </c>
      <c r="B1259" s="51">
        <v>20001104094</v>
      </c>
      <c r="C1259" s="52" t="s">
        <v>3248</v>
      </c>
      <c r="D1259" s="52" t="s">
        <v>1078</v>
      </c>
      <c r="E1259" s="52" t="s">
        <v>3840</v>
      </c>
      <c r="F1259" s="52" t="s">
        <v>620</v>
      </c>
      <c r="G1259" s="52" t="s">
        <v>213</v>
      </c>
      <c r="H1259" s="52">
        <v>1</v>
      </c>
    </row>
    <row r="1260" spans="1:8" ht="14.4" x14ac:dyDescent="0.3">
      <c r="A1260" s="50">
        <v>4171</v>
      </c>
      <c r="B1260" s="51">
        <v>20000680024</v>
      </c>
      <c r="C1260" s="52" t="s">
        <v>3249</v>
      </c>
      <c r="D1260" s="52" t="s">
        <v>3250</v>
      </c>
      <c r="E1260" s="52" t="s">
        <v>2895</v>
      </c>
      <c r="F1260" s="52" t="s">
        <v>618</v>
      </c>
      <c r="G1260" s="52" t="s">
        <v>244</v>
      </c>
      <c r="H1260" s="52">
        <v>1</v>
      </c>
    </row>
    <row r="1261" spans="1:8" ht="14.4" x14ac:dyDescent="0.3">
      <c r="A1261" s="50">
        <v>4172</v>
      </c>
      <c r="B1261" s="51">
        <v>20000330010</v>
      </c>
      <c r="C1261" s="52" t="s">
        <v>3251</v>
      </c>
      <c r="D1261" s="52" t="s">
        <v>3252</v>
      </c>
      <c r="E1261" s="52" t="s">
        <v>2930</v>
      </c>
      <c r="F1261" s="52" t="s">
        <v>664</v>
      </c>
      <c r="G1261" s="52" t="s">
        <v>213</v>
      </c>
      <c r="H1261" s="52">
        <v>1</v>
      </c>
    </row>
    <row r="1262" spans="1:8" ht="14.4" x14ac:dyDescent="0.3">
      <c r="A1262" s="50">
        <v>4173</v>
      </c>
      <c r="B1262" s="51">
        <v>20000110105</v>
      </c>
      <c r="C1262" s="52" t="s">
        <v>3254</v>
      </c>
      <c r="D1262" s="52" t="s">
        <v>3253</v>
      </c>
      <c r="E1262" s="52" t="s">
        <v>633</v>
      </c>
      <c r="F1262" s="52" t="s">
        <v>628</v>
      </c>
      <c r="G1262" s="52" t="s">
        <v>213</v>
      </c>
      <c r="H1262" s="52">
        <v>1</v>
      </c>
    </row>
    <row r="1263" spans="1:8" ht="14.4" x14ac:dyDescent="0.3">
      <c r="A1263" s="50">
        <v>4174</v>
      </c>
      <c r="B1263" s="51">
        <v>20020094091</v>
      </c>
      <c r="C1263" s="52" t="s">
        <v>2180</v>
      </c>
      <c r="D1263" s="52" t="s">
        <v>1121</v>
      </c>
      <c r="E1263" s="52" t="s">
        <v>2983</v>
      </c>
      <c r="F1263" s="52" t="s">
        <v>1086</v>
      </c>
      <c r="G1263" s="52" t="s">
        <v>244</v>
      </c>
      <c r="H1263" s="52">
        <v>0.5</v>
      </c>
    </row>
    <row r="1264" spans="1:8" ht="14.4" x14ac:dyDescent="0.3">
      <c r="A1264" s="50">
        <v>4176</v>
      </c>
      <c r="B1264" s="51">
        <v>20000330010</v>
      </c>
      <c r="C1264" s="52" t="s">
        <v>3271</v>
      </c>
      <c r="D1264" s="52" t="s">
        <v>739</v>
      </c>
      <c r="E1264" s="52" t="s">
        <v>2926</v>
      </c>
      <c r="F1264" s="52" t="s">
        <v>664</v>
      </c>
      <c r="G1264" s="52" t="s">
        <v>244</v>
      </c>
      <c r="H1264" s="52">
        <v>0.5</v>
      </c>
    </row>
    <row r="1265" spans="1:8" ht="14.4" x14ac:dyDescent="0.3">
      <c r="A1265" s="50">
        <v>4177</v>
      </c>
      <c r="B1265" s="51">
        <v>20000530021</v>
      </c>
      <c r="C1265" s="52" t="s">
        <v>3272</v>
      </c>
      <c r="D1265" s="52" t="s">
        <v>2687</v>
      </c>
      <c r="E1265" s="52" t="s">
        <v>3187</v>
      </c>
      <c r="F1265" s="52" t="s">
        <v>618</v>
      </c>
      <c r="G1265" s="52" t="s">
        <v>244</v>
      </c>
      <c r="H1265" s="52">
        <v>1</v>
      </c>
    </row>
    <row r="1266" spans="1:8" ht="14.4" x14ac:dyDescent="0.3">
      <c r="A1266" s="50">
        <v>4178</v>
      </c>
      <c r="B1266" s="51">
        <v>20060110034</v>
      </c>
      <c r="C1266" s="52" t="s">
        <v>3273</v>
      </c>
      <c r="D1266" s="52" t="s">
        <v>1504</v>
      </c>
      <c r="E1266" s="52" t="s">
        <v>1275</v>
      </c>
      <c r="F1266" s="52" t="s">
        <v>618</v>
      </c>
      <c r="G1266" s="52" t="s">
        <v>244</v>
      </c>
      <c r="H1266" s="52">
        <v>1</v>
      </c>
    </row>
    <row r="1267" spans="1:8" ht="14.4" x14ac:dyDescent="0.3">
      <c r="A1267" s="50">
        <v>4179</v>
      </c>
      <c r="B1267" s="51">
        <v>20000310010</v>
      </c>
      <c r="C1267" s="52" t="s">
        <v>3274</v>
      </c>
      <c r="D1267" s="52" t="s">
        <v>672</v>
      </c>
      <c r="E1267" s="52" t="s">
        <v>2929</v>
      </c>
      <c r="F1267" s="52" t="s">
        <v>664</v>
      </c>
      <c r="G1267" s="52" t="s">
        <v>244</v>
      </c>
      <c r="H1267" s="52">
        <v>0.5</v>
      </c>
    </row>
    <row r="1268" spans="1:8" ht="14.4" x14ac:dyDescent="0.3">
      <c r="A1268" s="50">
        <v>4180</v>
      </c>
      <c r="B1268" s="51">
        <v>20000110105</v>
      </c>
      <c r="C1268" s="52" t="s">
        <v>1981</v>
      </c>
      <c r="D1268" s="52" t="s">
        <v>3275</v>
      </c>
      <c r="E1268" s="52" t="s">
        <v>633</v>
      </c>
      <c r="F1268" s="52" t="s">
        <v>628</v>
      </c>
      <c r="G1268" s="52" t="s">
        <v>213</v>
      </c>
      <c r="H1268" s="52">
        <v>1</v>
      </c>
    </row>
    <row r="1269" spans="1:8" ht="14.4" x14ac:dyDescent="0.3">
      <c r="A1269" s="50">
        <v>4181</v>
      </c>
      <c r="B1269" s="51">
        <v>20001054085</v>
      </c>
      <c r="C1269" s="52" t="s">
        <v>2232</v>
      </c>
      <c r="D1269" s="52" t="s">
        <v>1142</v>
      </c>
      <c r="E1269" s="52" t="s">
        <v>1326</v>
      </c>
      <c r="F1269" s="52" t="s">
        <v>620</v>
      </c>
      <c r="G1269" s="52" t="s">
        <v>213</v>
      </c>
      <c r="H1269" s="52">
        <v>1</v>
      </c>
    </row>
    <row r="1270" spans="1:8" ht="14.4" x14ac:dyDescent="0.3">
      <c r="A1270" s="50">
        <v>4182</v>
      </c>
      <c r="B1270" s="51">
        <v>20001104092</v>
      </c>
      <c r="C1270" s="52" t="s">
        <v>3288</v>
      </c>
      <c r="D1270" s="52" t="s">
        <v>2131</v>
      </c>
      <c r="E1270" s="52" t="s">
        <v>1657</v>
      </c>
      <c r="F1270" s="52" t="s">
        <v>1086</v>
      </c>
      <c r="G1270" s="52" t="s">
        <v>213</v>
      </c>
      <c r="H1270" s="52">
        <v>1</v>
      </c>
    </row>
    <row r="1271" spans="1:8" ht="14.4" x14ac:dyDescent="0.3">
      <c r="A1271" s="50">
        <v>4183</v>
      </c>
      <c r="B1271" s="51">
        <v>20001150127</v>
      </c>
      <c r="C1271" s="52" t="s">
        <v>3289</v>
      </c>
      <c r="D1271" s="52" t="s">
        <v>1170</v>
      </c>
      <c r="E1271" s="52" t="s">
        <v>1426</v>
      </c>
      <c r="F1271" s="52" t="s">
        <v>618</v>
      </c>
      <c r="G1271" s="52" t="s">
        <v>213</v>
      </c>
      <c r="H1271" s="52">
        <v>1</v>
      </c>
    </row>
    <row r="1272" spans="1:8" ht="14.4" x14ac:dyDescent="0.3">
      <c r="A1272" s="50">
        <v>4184</v>
      </c>
      <c r="B1272" s="51">
        <v>20017050145</v>
      </c>
      <c r="C1272" s="52" t="s">
        <v>3290</v>
      </c>
      <c r="D1272" s="52" t="s">
        <v>1121</v>
      </c>
      <c r="E1272" s="52" t="s">
        <v>2858</v>
      </c>
      <c r="F1272" s="52" t="s">
        <v>620</v>
      </c>
      <c r="G1272" s="52" t="s">
        <v>213</v>
      </c>
      <c r="H1272" s="52">
        <v>1</v>
      </c>
    </row>
    <row r="1273" spans="1:8" ht="14.4" x14ac:dyDescent="0.3">
      <c r="A1273" s="50">
        <v>4185</v>
      </c>
      <c r="B1273" s="51">
        <v>20000110105</v>
      </c>
      <c r="C1273" s="52" t="s">
        <v>3320</v>
      </c>
      <c r="D1273" s="52" t="s">
        <v>3291</v>
      </c>
      <c r="E1273" s="52" t="s">
        <v>633</v>
      </c>
      <c r="F1273" s="52" t="s">
        <v>628</v>
      </c>
      <c r="G1273" s="52" t="s">
        <v>213</v>
      </c>
      <c r="H1273" s="52">
        <v>1</v>
      </c>
    </row>
    <row r="1274" spans="1:8" ht="14.4" x14ac:dyDescent="0.3">
      <c r="A1274" s="50">
        <v>4186</v>
      </c>
      <c r="B1274" s="51">
        <v>20051001108</v>
      </c>
      <c r="C1274" s="52" t="s">
        <v>3321</v>
      </c>
      <c r="D1274" s="52" t="s">
        <v>844</v>
      </c>
      <c r="E1274" s="52" t="s">
        <v>1988</v>
      </c>
      <c r="F1274" s="52" t="s">
        <v>628</v>
      </c>
      <c r="G1274" s="52" t="s">
        <v>213</v>
      </c>
      <c r="H1274" s="52">
        <v>1</v>
      </c>
    </row>
    <row r="1275" spans="1:8" ht="14.4" x14ac:dyDescent="0.3">
      <c r="A1275" s="50">
        <v>4187</v>
      </c>
      <c r="B1275" s="51">
        <v>20009001112</v>
      </c>
      <c r="C1275" s="52" t="s">
        <v>3322</v>
      </c>
      <c r="D1275" s="52" t="s">
        <v>1265</v>
      </c>
      <c r="E1275" s="52" t="s">
        <v>1970</v>
      </c>
      <c r="F1275" s="52" t="s">
        <v>620</v>
      </c>
      <c r="G1275" s="52" t="s">
        <v>213</v>
      </c>
      <c r="H1275" s="52">
        <v>1</v>
      </c>
    </row>
    <row r="1276" spans="1:8" ht="14.4" x14ac:dyDescent="0.3">
      <c r="A1276" s="50">
        <v>4188</v>
      </c>
      <c r="B1276" s="51">
        <v>20000330010</v>
      </c>
      <c r="C1276" s="52" t="s">
        <v>3323</v>
      </c>
      <c r="D1276" s="52" t="s">
        <v>700</v>
      </c>
      <c r="E1276" s="52" t="s">
        <v>2856</v>
      </c>
      <c r="F1276" s="52" t="s">
        <v>664</v>
      </c>
      <c r="G1276" s="52" t="s">
        <v>244</v>
      </c>
      <c r="H1276" s="52">
        <v>1</v>
      </c>
    </row>
    <row r="1277" spans="1:8" ht="14.4" x14ac:dyDescent="0.3">
      <c r="A1277" s="50">
        <v>4189</v>
      </c>
      <c r="B1277" s="51">
        <v>20051092067</v>
      </c>
      <c r="C1277" s="52" t="s">
        <v>3324</v>
      </c>
      <c r="D1277" s="52" t="s">
        <v>3325</v>
      </c>
      <c r="E1277" s="52" t="s">
        <v>3326</v>
      </c>
      <c r="F1277" s="52" t="s">
        <v>628</v>
      </c>
      <c r="G1277" s="52" t="s">
        <v>213</v>
      </c>
      <c r="H1277" s="52">
        <v>1</v>
      </c>
    </row>
    <row r="1278" spans="1:8" ht="14.4" x14ac:dyDescent="0.3">
      <c r="A1278" s="50">
        <v>4190</v>
      </c>
      <c r="B1278" s="51">
        <v>20000950132</v>
      </c>
      <c r="C1278" s="52" t="s">
        <v>3640</v>
      </c>
      <c r="D1278" s="52" t="s">
        <v>785</v>
      </c>
      <c r="E1278" s="52" t="s">
        <v>3327</v>
      </c>
      <c r="F1278" s="52" t="s">
        <v>2765</v>
      </c>
      <c r="G1278" s="52" t="s">
        <v>244</v>
      </c>
      <c r="H1278" s="52">
        <v>1</v>
      </c>
    </row>
    <row r="1279" spans="1:8" ht="14.4" x14ac:dyDescent="0.3">
      <c r="A1279" s="50">
        <v>4191</v>
      </c>
      <c r="B1279" s="51">
        <v>20000670023</v>
      </c>
      <c r="C1279" s="52" t="s">
        <v>3328</v>
      </c>
      <c r="D1279" s="52" t="s">
        <v>844</v>
      </c>
      <c r="E1279" s="52" t="s">
        <v>3329</v>
      </c>
      <c r="F1279" s="52" t="s">
        <v>618</v>
      </c>
      <c r="G1279" s="52" t="s">
        <v>244</v>
      </c>
      <c r="H1279" s="52">
        <v>1</v>
      </c>
    </row>
    <row r="1280" spans="1:8" ht="14.4" x14ac:dyDescent="0.3">
      <c r="A1280" s="50">
        <v>4192</v>
      </c>
      <c r="B1280" s="51">
        <v>20009001109</v>
      </c>
      <c r="C1280" s="52" t="s">
        <v>1014</v>
      </c>
      <c r="D1280" s="52" t="s">
        <v>3330</v>
      </c>
      <c r="E1280" s="52" t="s">
        <v>2677</v>
      </c>
      <c r="F1280" s="52" t="s">
        <v>1532</v>
      </c>
      <c r="G1280" s="52" t="s">
        <v>213</v>
      </c>
      <c r="H1280" s="52">
        <v>1</v>
      </c>
    </row>
    <row r="1281" spans="1:8" ht="14.4" x14ac:dyDescent="0.3">
      <c r="A1281" s="50">
        <v>4193</v>
      </c>
      <c r="B1281" s="51">
        <v>20000310010</v>
      </c>
      <c r="C1281" s="52" t="s">
        <v>1487</v>
      </c>
      <c r="D1281" s="52" t="s">
        <v>1530</v>
      </c>
      <c r="E1281" s="52" t="s">
        <v>2922</v>
      </c>
      <c r="F1281" s="52" t="s">
        <v>664</v>
      </c>
      <c r="G1281" s="52" t="s">
        <v>244</v>
      </c>
      <c r="H1281" s="52">
        <v>0.5</v>
      </c>
    </row>
    <row r="1282" spans="1:8" ht="14.4" x14ac:dyDescent="0.3">
      <c r="A1282" s="50">
        <v>4194</v>
      </c>
      <c r="B1282" s="51">
        <v>20001050115</v>
      </c>
      <c r="C1282" s="52" t="s">
        <v>3345</v>
      </c>
      <c r="D1282" s="52" t="s">
        <v>3346</v>
      </c>
      <c r="E1282" s="52" t="s">
        <v>2943</v>
      </c>
      <c r="F1282" s="52" t="s">
        <v>1532</v>
      </c>
      <c r="G1282" s="52" t="s">
        <v>213</v>
      </c>
      <c r="H1282" s="52">
        <v>1</v>
      </c>
    </row>
    <row r="1283" spans="1:8" ht="14.4" x14ac:dyDescent="0.3">
      <c r="A1283" s="50">
        <v>4195</v>
      </c>
      <c r="B1283" s="51">
        <v>20000310010</v>
      </c>
      <c r="C1283" s="52" t="s">
        <v>3347</v>
      </c>
      <c r="D1283" s="52" t="s">
        <v>785</v>
      </c>
      <c r="E1283" s="52" t="s">
        <v>3172</v>
      </c>
      <c r="F1283" s="52" t="s">
        <v>664</v>
      </c>
      <c r="G1283" s="52" t="s">
        <v>244</v>
      </c>
      <c r="H1283" s="52">
        <v>1</v>
      </c>
    </row>
    <row r="1284" spans="1:8" ht="14.4" x14ac:dyDescent="0.3">
      <c r="A1284" s="50">
        <v>4196</v>
      </c>
      <c r="B1284" s="51">
        <v>20001130096</v>
      </c>
      <c r="C1284" s="52" t="s">
        <v>3348</v>
      </c>
      <c r="D1284" s="52" t="s">
        <v>934</v>
      </c>
      <c r="E1284" s="52" t="s">
        <v>3349</v>
      </c>
      <c r="F1284" s="52" t="s">
        <v>618</v>
      </c>
      <c r="G1284" s="52" t="s">
        <v>244</v>
      </c>
      <c r="H1284" s="52">
        <v>0.5</v>
      </c>
    </row>
    <row r="1285" spans="1:8" ht="14.4" x14ac:dyDescent="0.3">
      <c r="A1285" s="50">
        <v>4197</v>
      </c>
      <c r="B1285" s="51">
        <v>20000310010</v>
      </c>
      <c r="C1285" s="52" t="s">
        <v>1853</v>
      </c>
      <c r="D1285" s="52" t="s">
        <v>3365</v>
      </c>
      <c r="E1285" s="52" t="s">
        <v>3172</v>
      </c>
      <c r="F1285" s="52" t="s">
        <v>664</v>
      </c>
      <c r="G1285" s="52" t="s">
        <v>244</v>
      </c>
      <c r="H1285" s="52">
        <v>0.5</v>
      </c>
    </row>
    <row r="1286" spans="1:8" ht="14.4" x14ac:dyDescent="0.3">
      <c r="A1286" s="50">
        <v>4198</v>
      </c>
      <c r="B1286" s="51">
        <v>20000340010</v>
      </c>
      <c r="C1286" s="52" t="s">
        <v>3366</v>
      </c>
      <c r="D1286" s="52" t="s">
        <v>1530</v>
      </c>
      <c r="E1286" s="52" t="s">
        <v>2932</v>
      </c>
      <c r="F1286" s="52" t="s">
        <v>664</v>
      </c>
      <c r="G1286" s="52" t="s">
        <v>213</v>
      </c>
      <c r="H1286" s="52">
        <v>1</v>
      </c>
    </row>
    <row r="1287" spans="1:8" ht="14.4" x14ac:dyDescent="0.3">
      <c r="A1287" s="50">
        <v>4199</v>
      </c>
      <c r="B1287" s="51">
        <v>20000330010</v>
      </c>
      <c r="C1287" s="52" t="s">
        <v>3463</v>
      </c>
      <c r="D1287" s="52" t="s">
        <v>733</v>
      </c>
      <c r="E1287" s="52" t="s">
        <v>2930</v>
      </c>
      <c r="F1287" s="52" t="s">
        <v>664</v>
      </c>
      <c r="G1287" s="52" t="s">
        <v>213</v>
      </c>
      <c r="H1287" s="52">
        <v>1</v>
      </c>
    </row>
    <row r="1288" spans="1:8" ht="14.4" x14ac:dyDescent="0.3">
      <c r="A1288" s="50">
        <v>4200</v>
      </c>
      <c r="B1288" s="51">
        <v>20001140000</v>
      </c>
      <c r="C1288" s="52" t="s">
        <v>3367</v>
      </c>
      <c r="D1288" s="52" t="s">
        <v>3368</v>
      </c>
      <c r="E1288" s="52" t="s">
        <v>3369</v>
      </c>
      <c r="F1288" s="52" t="s">
        <v>618</v>
      </c>
      <c r="G1288" s="52" t="s">
        <v>213</v>
      </c>
      <c r="H1288" s="52">
        <v>1</v>
      </c>
    </row>
    <row r="1289" spans="1:8" ht="14.4" x14ac:dyDescent="0.3">
      <c r="A1289" s="50">
        <v>4201</v>
      </c>
      <c r="B1289" s="51">
        <v>20009001108</v>
      </c>
      <c r="C1289" s="52" t="s">
        <v>2880</v>
      </c>
      <c r="D1289" s="52" t="s">
        <v>679</v>
      </c>
      <c r="E1289" s="52" t="s">
        <v>1993</v>
      </c>
      <c r="F1289" s="52" t="s">
        <v>628</v>
      </c>
      <c r="G1289" s="52" t="s">
        <v>244</v>
      </c>
      <c r="H1289" s="52">
        <v>1</v>
      </c>
    </row>
    <row r="1290" spans="1:8" ht="14.4" x14ac:dyDescent="0.3">
      <c r="A1290" s="50">
        <v>4202</v>
      </c>
      <c r="B1290" s="51">
        <v>20001104092</v>
      </c>
      <c r="C1290" s="52" t="s">
        <v>3464</v>
      </c>
      <c r="D1290" s="52" t="s">
        <v>676</v>
      </c>
      <c r="E1290" s="52" t="s">
        <v>1639</v>
      </c>
      <c r="F1290" s="52" t="s">
        <v>1086</v>
      </c>
      <c r="G1290" s="52" t="s">
        <v>213</v>
      </c>
      <c r="H1290" s="52">
        <v>1</v>
      </c>
    </row>
    <row r="1291" spans="1:8" ht="14.4" x14ac:dyDescent="0.3">
      <c r="A1291" s="50">
        <v>4203</v>
      </c>
      <c r="B1291" s="51">
        <v>20000310010</v>
      </c>
      <c r="C1291" s="52" t="s">
        <v>3465</v>
      </c>
      <c r="D1291" s="52" t="s">
        <v>1668</v>
      </c>
      <c r="E1291" s="52" t="s">
        <v>3172</v>
      </c>
      <c r="F1291" s="52" t="s">
        <v>664</v>
      </c>
      <c r="G1291" s="52" t="s">
        <v>213</v>
      </c>
      <c r="H1291" s="52">
        <v>1</v>
      </c>
    </row>
    <row r="1292" spans="1:8" ht="14.4" x14ac:dyDescent="0.3">
      <c r="A1292" s="50">
        <v>4204</v>
      </c>
      <c r="B1292" s="51">
        <v>20021052108</v>
      </c>
      <c r="C1292" s="52" t="s">
        <v>956</v>
      </c>
      <c r="D1292" s="52" t="s">
        <v>668</v>
      </c>
      <c r="E1292" s="52" t="s">
        <v>3466</v>
      </c>
      <c r="F1292" s="52" t="s">
        <v>628</v>
      </c>
      <c r="G1292" s="52" t="s">
        <v>213</v>
      </c>
      <c r="H1292" s="52">
        <v>1</v>
      </c>
    </row>
    <row r="1293" spans="1:8" ht="14.4" x14ac:dyDescent="0.3">
      <c r="A1293" s="50">
        <v>4205</v>
      </c>
      <c r="B1293" s="51">
        <v>20022001104</v>
      </c>
      <c r="C1293" s="52" t="s">
        <v>3467</v>
      </c>
      <c r="D1293" s="52" t="s">
        <v>619</v>
      </c>
      <c r="E1293" s="52" t="s">
        <v>3468</v>
      </c>
      <c r="F1293" s="52" t="s">
        <v>620</v>
      </c>
      <c r="G1293" s="52" t="s">
        <v>213</v>
      </c>
      <c r="H1293" s="52">
        <v>1</v>
      </c>
    </row>
    <row r="1294" spans="1:8" ht="14.4" x14ac:dyDescent="0.3">
      <c r="A1294" s="50">
        <v>4206</v>
      </c>
      <c r="B1294" s="51">
        <v>20000550020</v>
      </c>
      <c r="C1294" s="52" t="s">
        <v>836</v>
      </c>
      <c r="D1294" s="52" t="s">
        <v>1885</v>
      </c>
      <c r="E1294" s="52" t="s">
        <v>1011</v>
      </c>
      <c r="F1294" s="52" t="s">
        <v>618</v>
      </c>
      <c r="G1294" s="52" t="s">
        <v>244</v>
      </c>
      <c r="H1294" s="52">
        <v>1</v>
      </c>
    </row>
    <row r="1295" spans="1:8" ht="14.4" x14ac:dyDescent="0.3">
      <c r="A1295" s="50">
        <v>4207</v>
      </c>
      <c r="B1295" s="51">
        <v>20000570122</v>
      </c>
      <c r="C1295" s="52" t="s">
        <v>3469</v>
      </c>
      <c r="D1295" s="52" t="s">
        <v>3470</v>
      </c>
      <c r="E1295" s="52" t="s">
        <v>1031</v>
      </c>
      <c r="F1295" s="52" t="s">
        <v>628</v>
      </c>
      <c r="G1295" s="52" t="s">
        <v>213</v>
      </c>
      <c r="H1295" s="52">
        <v>1</v>
      </c>
    </row>
    <row r="1296" spans="1:8" ht="14.4" x14ac:dyDescent="0.3">
      <c r="A1296" s="50">
        <v>4209</v>
      </c>
      <c r="B1296" s="51">
        <v>20000310010</v>
      </c>
      <c r="C1296" s="52" t="s">
        <v>3471</v>
      </c>
      <c r="D1296" s="52" t="s">
        <v>1084</v>
      </c>
      <c r="E1296" s="52" t="s">
        <v>2922</v>
      </c>
      <c r="F1296" s="52" t="s">
        <v>664</v>
      </c>
      <c r="G1296" s="52" t="s">
        <v>244</v>
      </c>
      <c r="H1296" s="52">
        <v>0.5</v>
      </c>
    </row>
    <row r="1297" spans="1:8" ht="14.4" x14ac:dyDescent="0.3">
      <c r="A1297" s="50">
        <v>4210</v>
      </c>
      <c r="B1297" s="51">
        <v>20001102072</v>
      </c>
      <c r="C1297" s="52" t="s">
        <v>3472</v>
      </c>
      <c r="D1297" s="52" t="s">
        <v>3473</v>
      </c>
      <c r="E1297" s="52" t="s">
        <v>1631</v>
      </c>
      <c r="F1297" s="52" t="s">
        <v>1532</v>
      </c>
      <c r="G1297" s="52" t="s">
        <v>213</v>
      </c>
      <c r="H1297" s="52">
        <v>1</v>
      </c>
    </row>
    <row r="1298" spans="1:8" ht="14.4" x14ac:dyDescent="0.3">
      <c r="A1298" s="50">
        <v>4211</v>
      </c>
      <c r="B1298" s="51">
        <v>20000550020</v>
      </c>
      <c r="C1298" s="52" t="s">
        <v>3474</v>
      </c>
      <c r="D1298" s="52" t="s">
        <v>3475</v>
      </c>
      <c r="E1298" s="52" t="s">
        <v>3187</v>
      </c>
      <c r="F1298" s="52" t="s">
        <v>618</v>
      </c>
      <c r="G1298" s="52" t="s">
        <v>213</v>
      </c>
      <c r="H1298" s="52">
        <v>1</v>
      </c>
    </row>
    <row r="1299" spans="1:8" ht="14.4" x14ac:dyDescent="0.3">
      <c r="A1299" s="50">
        <v>4213</v>
      </c>
      <c r="B1299" s="51">
        <v>20000310010</v>
      </c>
      <c r="C1299" s="52" t="s">
        <v>3476</v>
      </c>
      <c r="D1299" s="52" t="s">
        <v>785</v>
      </c>
      <c r="E1299" s="52" t="s">
        <v>3172</v>
      </c>
      <c r="F1299" s="52" t="s">
        <v>664</v>
      </c>
      <c r="G1299" s="52" t="s">
        <v>244</v>
      </c>
      <c r="H1299" s="52">
        <v>1</v>
      </c>
    </row>
    <row r="1300" spans="1:8" ht="14.4" x14ac:dyDescent="0.3">
      <c r="A1300" s="50">
        <v>4214</v>
      </c>
      <c r="B1300" s="51">
        <v>20020094091</v>
      </c>
      <c r="C1300" s="52" t="s">
        <v>1817</v>
      </c>
      <c r="D1300" s="52" t="s">
        <v>855</v>
      </c>
      <c r="E1300" s="52" t="s">
        <v>2237</v>
      </c>
      <c r="F1300" s="52" t="s">
        <v>1086</v>
      </c>
      <c r="G1300" s="52" t="s">
        <v>213</v>
      </c>
      <c r="H1300" s="52">
        <v>1</v>
      </c>
    </row>
    <row r="1301" spans="1:8" ht="14.4" x14ac:dyDescent="0.3">
      <c r="A1301" s="50">
        <v>4215</v>
      </c>
      <c r="B1301" s="51">
        <v>20001052065</v>
      </c>
      <c r="C1301" s="52" t="s">
        <v>3477</v>
      </c>
      <c r="D1301" s="52" t="s">
        <v>1282</v>
      </c>
      <c r="E1301" s="52" t="s">
        <v>1468</v>
      </c>
      <c r="F1301" s="52" t="s">
        <v>628</v>
      </c>
      <c r="G1301" s="52" t="s">
        <v>213</v>
      </c>
      <c r="H1301" s="52">
        <v>1</v>
      </c>
    </row>
    <row r="1302" spans="1:8" ht="14.4" x14ac:dyDescent="0.3">
      <c r="A1302" s="50">
        <v>4216</v>
      </c>
      <c r="B1302" s="51">
        <v>20001260017</v>
      </c>
      <c r="C1302" s="52" t="s">
        <v>3515</v>
      </c>
      <c r="D1302" s="52" t="s">
        <v>2004</v>
      </c>
      <c r="E1302" s="52" t="s">
        <v>2731</v>
      </c>
      <c r="F1302" s="52" t="s">
        <v>618</v>
      </c>
      <c r="G1302" s="52" t="s">
        <v>244</v>
      </c>
      <c r="H1302" s="52">
        <v>1</v>
      </c>
    </row>
    <row r="1303" spans="1:8" ht="14.4" x14ac:dyDescent="0.3">
      <c r="A1303" s="50">
        <v>4217</v>
      </c>
      <c r="B1303" s="51">
        <v>20000360010</v>
      </c>
      <c r="C1303" s="52" t="s">
        <v>3516</v>
      </c>
      <c r="D1303" s="52" t="s">
        <v>1656</v>
      </c>
      <c r="E1303" s="52" t="s">
        <v>3619</v>
      </c>
      <c r="F1303" s="52" t="s">
        <v>664</v>
      </c>
      <c r="G1303" s="52" t="s">
        <v>244</v>
      </c>
      <c r="H1303" s="52">
        <v>1</v>
      </c>
    </row>
    <row r="1304" spans="1:8" ht="14.4" x14ac:dyDescent="0.3">
      <c r="A1304" s="50">
        <v>4219</v>
      </c>
      <c r="B1304" s="51">
        <v>20020052070</v>
      </c>
      <c r="C1304" s="52" t="s">
        <v>3517</v>
      </c>
      <c r="D1304" s="52" t="s">
        <v>936</v>
      </c>
      <c r="E1304" s="52" t="s">
        <v>2209</v>
      </c>
      <c r="F1304" s="52" t="s">
        <v>1532</v>
      </c>
      <c r="G1304" s="52" t="s">
        <v>213</v>
      </c>
      <c r="H1304" s="52">
        <v>1</v>
      </c>
    </row>
    <row r="1305" spans="1:8" ht="14.4" x14ac:dyDescent="0.3">
      <c r="A1305" s="50">
        <v>4220</v>
      </c>
      <c r="B1305" s="51">
        <v>20009001103</v>
      </c>
      <c r="C1305" s="52" t="s">
        <v>2654</v>
      </c>
      <c r="D1305" s="52" t="s">
        <v>1919</v>
      </c>
      <c r="E1305" s="52" t="s">
        <v>2677</v>
      </c>
      <c r="F1305" s="52" t="s">
        <v>1056</v>
      </c>
      <c r="G1305" s="52" t="s">
        <v>244</v>
      </c>
      <c r="H1305" s="52">
        <v>1</v>
      </c>
    </row>
    <row r="1306" spans="1:8" ht="14.4" x14ac:dyDescent="0.3">
      <c r="A1306" s="50">
        <v>4221</v>
      </c>
      <c r="B1306" s="51">
        <v>20000550020</v>
      </c>
      <c r="C1306" s="52" t="s">
        <v>3518</v>
      </c>
      <c r="D1306" s="52" t="s">
        <v>1562</v>
      </c>
      <c r="E1306" s="52" t="s">
        <v>3692</v>
      </c>
      <c r="F1306" s="52" t="s">
        <v>618</v>
      </c>
      <c r="G1306" s="52" t="s">
        <v>213</v>
      </c>
      <c r="H1306" s="52">
        <v>1</v>
      </c>
    </row>
    <row r="1307" spans="1:8" ht="14.4" x14ac:dyDescent="0.3">
      <c r="A1307" s="50">
        <v>4222</v>
      </c>
      <c r="B1307" s="51">
        <v>20001104088</v>
      </c>
      <c r="C1307" s="52" t="s">
        <v>3519</v>
      </c>
      <c r="D1307" s="52" t="s">
        <v>3520</v>
      </c>
      <c r="E1307" s="52" t="s">
        <v>1639</v>
      </c>
      <c r="F1307" s="52" t="s">
        <v>620</v>
      </c>
      <c r="G1307" s="52" t="s">
        <v>244</v>
      </c>
      <c r="H1307" s="52">
        <v>1</v>
      </c>
    </row>
    <row r="1308" spans="1:8" ht="14.4" x14ac:dyDescent="0.3">
      <c r="A1308" s="50">
        <v>4223</v>
      </c>
      <c r="B1308" s="51">
        <v>20000310010</v>
      </c>
      <c r="C1308" s="52" t="s">
        <v>3521</v>
      </c>
      <c r="D1308" s="52" t="s">
        <v>1401</v>
      </c>
      <c r="E1308" s="52" t="s">
        <v>3172</v>
      </c>
      <c r="F1308" s="52" t="s">
        <v>664</v>
      </c>
      <c r="G1308" s="52" t="s">
        <v>244</v>
      </c>
      <c r="H1308" s="52">
        <v>1</v>
      </c>
    </row>
    <row r="1309" spans="1:8" ht="14.4" x14ac:dyDescent="0.3">
      <c r="A1309" s="50">
        <v>4224</v>
      </c>
      <c r="B1309" s="51">
        <v>20001050115</v>
      </c>
      <c r="C1309" s="52" t="s">
        <v>3522</v>
      </c>
      <c r="D1309" s="52" t="s">
        <v>3523</v>
      </c>
      <c r="E1309" s="52" t="s">
        <v>2943</v>
      </c>
      <c r="F1309" s="52" t="s">
        <v>618</v>
      </c>
      <c r="G1309" s="52" t="s">
        <v>213</v>
      </c>
      <c r="H1309" s="52">
        <v>1</v>
      </c>
    </row>
    <row r="1310" spans="1:8" ht="14.4" x14ac:dyDescent="0.3">
      <c r="A1310" s="50">
        <v>4225</v>
      </c>
      <c r="B1310" s="51">
        <v>20020054086</v>
      </c>
      <c r="C1310" s="52" t="s">
        <v>3535</v>
      </c>
      <c r="D1310" s="52" t="s">
        <v>2131</v>
      </c>
      <c r="E1310" s="52" t="s">
        <v>2209</v>
      </c>
      <c r="F1310" s="52" t="s">
        <v>620</v>
      </c>
      <c r="G1310" s="52" t="s">
        <v>213</v>
      </c>
      <c r="H1310" s="52">
        <v>1</v>
      </c>
    </row>
    <row r="1311" spans="1:8" ht="14.4" x14ac:dyDescent="0.3">
      <c r="A1311" s="50">
        <v>4226</v>
      </c>
      <c r="B1311" s="51">
        <v>20001140004</v>
      </c>
      <c r="C1311" s="52" t="s">
        <v>3799</v>
      </c>
      <c r="D1311" s="52" t="s">
        <v>838</v>
      </c>
      <c r="E1311" s="52" t="s">
        <v>1857</v>
      </c>
      <c r="F1311" s="52" t="s">
        <v>618</v>
      </c>
      <c r="G1311" s="52" t="s">
        <v>213</v>
      </c>
      <c r="H1311" s="52">
        <v>1</v>
      </c>
    </row>
    <row r="1312" spans="1:8" ht="14.4" x14ac:dyDescent="0.3">
      <c r="A1312" s="50">
        <v>4227</v>
      </c>
      <c r="B1312" s="51">
        <v>20000300130</v>
      </c>
      <c r="C1312" s="52" t="s">
        <v>3525</v>
      </c>
      <c r="D1312" s="52" t="s">
        <v>3526</v>
      </c>
      <c r="E1312" s="52" t="s">
        <v>1901</v>
      </c>
      <c r="F1312" s="52" t="s">
        <v>618</v>
      </c>
      <c r="G1312" s="52" t="s">
        <v>244</v>
      </c>
      <c r="H1312" s="52">
        <v>1</v>
      </c>
    </row>
    <row r="1313" spans="1:8" ht="14.4" x14ac:dyDescent="0.3">
      <c r="A1313" s="50">
        <v>4228</v>
      </c>
      <c r="B1313" s="51">
        <v>20000570122</v>
      </c>
      <c r="C1313" s="52" t="s">
        <v>3536</v>
      </c>
      <c r="D1313" s="52" t="s">
        <v>3537</v>
      </c>
      <c r="E1313" s="52" t="s">
        <v>1031</v>
      </c>
      <c r="F1313" s="52" t="s">
        <v>628</v>
      </c>
      <c r="G1313" s="52" t="s">
        <v>213</v>
      </c>
      <c r="H1313" s="52">
        <v>1</v>
      </c>
    </row>
    <row r="1314" spans="1:8" ht="14.4" x14ac:dyDescent="0.3">
      <c r="A1314" s="50">
        <v>4229</v>
      </c>
      <c r="B1314" s="51">
        <v>20000310010</v>
      </c>
      <c r="C1314" s="52" t="s">
        <v>3538</v>
      </c>
      <c r="D1314" s="52" t="s">
        <v>3539</v>
      </c>
      <c r="E1314" s="52" t="s">
        <v>2922</v>
      </c>
      <c r="F1314" s="52" t="s">
        <v>664</v>
      </c>
      <c r="G1314" s="52" t="s">
        <v>244</v>
      </c>
      <c r="H1314" s="52">
        <v>0.5</v>
      </c>
    </row>
    <row r="1315" spans="1:8" ht="14.4" x14ac:dyDescent="0.3">
      <c r="A1315" s="50">
        <v>4230</v>
      </c>
      <c r="B1315" s="51">
        <v>20001260017</v>
      </c>
      <c r="C1315" s="52" t="s">
        <v>3549</v>
      </c>
      <c r="D1315" s="52" t="s">
        <v>3841</v>
      </c>
      <c r="E1315" s="52" t="s">
        <v>1888</v>
      </c>
      <c r="F1315" s="52" t="s">
        <v>618</v>
      </c>
      <c r="G1315" s="52" t="s">
        <v>213</v>
      </c>
      <c r="H1315" s="52">
        <v>1</v>
      </c>
    </row>
    <row r="1316" spans="1:8" ht="14.4" x14ac:dyDescent="0.3">
      <c r="A1316" s="50">
        <v>4231</v>
      </c>
      <c r="B1316" s="51">
        <v>20017290155</v>
      </c>
      <c r="C1316" s="52" t="s">
        <v>3550</v>
      </c>
      <c r="D1316" s="52" t="s">
        <v>3551</v>
      </c>
      <c r="E1316" s="52" t="s">
        <v>1275</v>
      </c>
      <c r="F1316" s="52" t="s">
        <v>628</v>
      </c>
      <c r="G1316" s="52" t="s">
        <v>213</v>
      </c>
      <c r="H1316" s="52">
        <v>1</v>
      </c>
    </row>
    <row r="1317" spans="1:8" ht="14.4" x14ac:dyDescent="0.3">
      <c r="A1317" s="50">
        <v>4232</v>
      </c>
      <c r="B1317" s="51">
        <v>20000680024</v>
      </c>
      <c r="C1317" s="52" t="s">
        <v>3552</v>
      </c>
      <c r="D1317" s="52" t="s">
        <v>1228</v>
      </c>
      <c r="E1317" s="52" t="s">
        <v>2895</v>
      </c>
      <c r="F1317" s="52" t="s">
        <v>618</v>
      </c>
      <c r="G1317" s="52" t="s">
        <v>213</v>
      </c>
      <c r="H1317" s="52">
        <v>1</v>
      </c>
    </row>
    <row r="1318" spans="1:8" ht="14.4" x14ac:dyDescent="0.3">
      <c r="A1318" s="50">
        <v>4233</v>
      </c>
      <c r="B1318" s="51">
        <v>20001052065</v>
      </c>
      <c r="C1318" s="52" t="s">
        <v>3553</v>
      </c>
      <c r="D1318" s="52" t="s">
        <v>865</v>
      </c>
      <c r="E1318" s="52" t="s">
        <v>1468</v>
      </c>
      <c r="F1318" s="52" t="s">
        <v>628</v>
      </c>
      <c r="G1318" s="52" t="s">
        <v>213</v>
      </c>
      <c r="H1318" s="52">
        <v>1</v>
      </c>
    </row>
    <row r="1319" spans="1:8" ht="14.4" x14ac:dyDescent="0.3">
      <c r="A1319" s="50">
        <v>4234</v>
      </c>
      <c r="B1319" s="51">
        <v>20061110032</v>
      </c>
      <c r="C1319" s="52" t="s">
        <v>2492</v>
      </c>
      <c r="D1319" s="52" t="s">
        <v>923</v>
      </c>
      <c r="E1319" s="52" t="s">
        <v>3554</v>
      </c>
      <c r="F1319" s="52" t="s">
        <v>628</v>
      </c>
      <c r="G1319" s="52" t="s">
        <v>213</v>
      </c>
      <c r="H1319" s="52">
        <v>1</v>
      </c>
    </row>
    <row r="1320" spans="1:8" ht="14.4" x14ac:dyDescent="0.3">
      <c r="A1320" s="50">
        <v>4235</v>
      </c>
      <c r="B1320" s="51">
        <v>20009001108</v>
      </c>
      <c r="C1320" s="52" t="s">
        <v>3577</v>
      </c>
      <c r="D1320" s="52" t="s">
        <v>3578</v>
      </c>
      <c r="E1320" s="52" t="s">
        <v>1993</v>
      </c>
      <c r="F1320" s="52" t="s">
        <v>628</v>
      </c>
      <c r="G1320" s="52" t="s">
        <v>213</v>
      </c>
      <c r="H1320" s="52">
        <v>1</v>
      </c>
    </row>
    <row r="1321" spans="1:8" ht="14.4" x14ac:dyDescent="0.3">
      <c r="A1321" s="50">
        <v>4236</v>
      </c>
      <c r="B1321" s="51">
        <v>20001104088</v>
      </c>
      <c r="C1321" s="52" t="s">
        <v>3659</v>
      </c>
      <c r="D1321" s="52" t="s">
        <v>721</v>
      </c>
      <c r="E1321" s="52" t="s">
        <v>1639</v>
      </c>
      <c r="F1321" s="52" t="s">
        <v>620</v>
      </c>
      <c r="G1321" s="52" t="s">
        <v>244</v>
      </c>
      <c r="H1321" s="52">
        <v>1</v>
      </c>
    </row>
    <row r="1322" spans="1:8" ht="14.4" x14ac:dyDescent="0.3">
      <c r="A1322" s="50">
        <v>4237</v>
      </c>
      <c r="B1322" s="51">
        <v>20022001113</v>
      </c>
      <c r="C1322" s="52" t="s">
        <v>649</v>
      </c>
      <c r="D1322" s="52" t="s">
        <v>2319</v>
      </c>
      <c r="E1322" s="52" t="s">
        <v>3468</v>
      </c>
      <c r="F1322" s="52" t="s">
        <v>1086</v>
      </c>
      <c r="G1322" s="52" t="s">
        <v>213</v>
      </c>
      <c r="H1322" s="52">
        <v>1</v>
      </c>
    </row>
    <row r="1323" spans="1:8" ht="14.4" x14ac:dyDescent="0.3">
      <c r="A1323" s="50">
        <v>4238</v>
      </c>
      <c r="B1323" s="51">
        <v>20001050152</v>
      </c>
      <c r="C1323" s="52" t="s">
        <v>3579</v>
      </c>
      <c r="D1323" s="52" t="s">
        <v>1689</v>
      </c>
      <c r="E1323" s="52" t="s">
        <v>3800</v>
      </c>
      <c r="F1323" s="52" t="s">
        <v>1086</v>
      </c>
      <c r="G1323" s="52" t="s">
        <v>213</v>
      </c>
      <c r="H1323" s="52">
        <v>1</v>
      </c>
    </row>
    <row r="1324" spans="1:8" ht="14.4" x14ac:dyDescent="0.3">
      <c r="A1324" s="50">
        <v>4239</v>
      </c>
      <c r="B1324" s="51">
        <v>20051001112</v>
      </c>
      <c r="C1324" s="52" t="s">
        <v>3580</v>
      </c>
      <c r="D1324" s="52" t="s">
        <v>936</v>
      </c>
      <c r="E1324" s="52" t="s">
        <v>1988</v>
      </c>
      <c r="F1324" s="52" t="s">
        <v>620</v>
      </c>
      <c r="G1324" s="52" t="s">
        <v>213</v>
      </c>
      <c r="H1324" s="52">
        <v>1</v>
      </c>
    </row>
    <row r="1325" spans="1:8" ht="14.4" x14ac:dyDescent="0.3">
      <c r="A1325" s="50">
        <v>4240</v>
      </c>
      <c r="B1325" s="51">
        <v>20000570123</v>
      </c>
      <c r="C1325" s="52" t="s">
        <v>3581</v>
      </c>
      <c r="D1325" s="52" t="s">
        <v>3593</v>
      </c>
      <c r="E1325" s="52" t="s">
        <v>1031</v>
      </c>
      <c r="F1325" s="52" t="s">
        <v>620</v>
      </c>
      <c r="G1325" s="52" t="s">
        <v>145</v>
      </c>
      <c r="H1325" s="52">
        <v>1</v>
      </c>
    </row>
    <row r="1326" spans="1:8" ht="14.4" x14ac:dyDescent="0.3">
      <c r="A1326" s="50">
        <v>4241</v>
      </c>
      <c r="B1326" s="51">
        <v>20000950162</v>
      </c>
      <c r="C1326" s="52" t="s">
        <v>2135</v>
      </c>
      <c r="D1326" s="52" t="s">
        <v>1121</v>
      </c>
      <c r="E1326" s="52" t="s">
        <v>3760</v>
      </c>
      <c r="F1326" s="52" t="s">
        <v>620</v>
      </c>
      <c r="G1326" s="52" t="s">
        <v>213</v>
      </c>
      <c r="H1326" s="52">
        <v>1</v>
      </c>
    </row>
    <row r="1327" spans="1:8" ht="14.4" x14ac:dyDescent="0.3">
      <c r="A1327" s="50">
        <v>4243</v>
      </c>
      <c r="B1327" s="51">
        <v>20001052061</v>
      </c>
      <c r="C1327" s="52" t="s">
        <v>3594</v>
      </c>
      <c r="D1327" s="52" t="s">
        <v>1492</v>
      </c>
      <c r="E1327" s="52" t="s">
        <v>3603</v>
      </c>
      <c r="F1327" s="52" t="s">
        <v>1441</v>
      </c>
      <c r="G1327" s="52" t="s">
        <v>213</v>
      </c>
      <c r="H1327" s="52">
        <v>1</v>
      </c>
    </row>
    <row r="1328" spans="1:8" ht="14.4" x14ac:dyDescent="0.3">
      <c r="A1328" s="50">
        <v>4244</v>
      </c>
      <c r="B1328" s="51">
        <v>20019110095</v>
      </c>
      <c r="C1328" s="52" t="s">
        <v>3595</v>
      </c>
      <c r="D1328" s="52" t="s">
        <v>1101</v>
      </c>
      <c r="E1328" s="52" t="s">
        <v>3596</v>
      </c>
      <c r="F1328" s="52" t="s">
        <v>620</v>
      </c>
      <c r="G1328" s="52" t="s">
        <v>213</v>
      </c>
      <c r="H1328" s="52">
        <v>1</v>
      </c>
    </row>
    <row r="1329" spans="1:8" ht="14.4" x14ac:dyDescent="0.3">
      <c r="A1329" s="50">
        <v>4245</v>
      </c>
      <c r="B1329" s="51">
        <v>20001053075</v>
      </c>
      <c r="C1329" s="52" t="s">
        <v>3597</v>
      </c>
      <c r="D1329" s="52" t="s">
        <v>3598</v>
      </c>
      <c r="E1329" s="52" t="s">
        <v>3599</v>
      </c>
      <c r="F1329" s="52" t="s">
        <v>1313</v>
      </c>
      <c r="G1329" s="52" t="s">
        <v>213</v>
      </c>
      <c r="H1329" s="52">
        <v>1</v>
      </c>
    </row>
    <row r="1330" spans="1:8" ht="14.4" x14ac:dyDescent="0.3">
      <c r="A1330" s="50">
        <v>4246</v>
      </c>
      <c r="B1330" s="51">
        <v>20009001112</v>
      </c>
      <c r="C1330" s="52" t="s">
        <v>1805</v>
      </c>
      <c r="D1330" s="52" t="s">
        <v>2969</v>
      </c>
      <c r="E1330" s="52" t="s">
        <v>1970</v>
      </c>
      <c r="F1330" s="52" t="s">
        <v>620</v>
      </c>
      <c r="G1330" s="52" t="s">
        <v>213</v>
      </c>
      <c r="H1330" s="52">
        <v>1</v>
      </c>
    </row>
    <row r="1331" spans="1:8" ht="14.4" x14ac:dyDescent="0.3">
      <c r="A1331" s="50">
        <v>4247</v>
      </c>
      <c r="B1331" s="51">
        <v>20001052065</v>
      </c>
      <c r="C1331" s="52" t="s">
        <v>3801</v>
      </c>
      <c r="D1331" s="52" t="s">
        <v>2338</v>
      </c>
      <c r="E1331" s="52" t="s">
        <v>1326</v>
      </c>
      <c r="F1331" s="52" t="s">
        <v>628</v>
      </c>
      <c r="G1331" s="52" t="s">
        <v>213</v>
      </c>
      <c r="H1331" s="52">
        <v>1</v>
      </c>
    </row>
    <row r="1332" spans="1:8" ht="14.4" x14ac:dyDescent="0.3">
      <c r="A1332" s="50">
        <v>4248</v>
      </c>
      <c r="B1332" s="51">
        <v>20022001102</v>
      </c>
      <c r="C1332" s="52" t="s">
        <v>3604</v>
      </c>
      <c r="D1332" s="52" t="s">
        <v>3605</v>
      </c>
      <c r="E1332" s="52" t="s">
        <v>3468</v>
      </c>
      <c r="F1332" s="52" t="s">
        <v>628</v>
      </c>
      <c r="G1332" s="52" t="s">
        <v>244</v>
      </c>
      <c r="H1332" s="52">
        <v>1</v>
      </c>
    </row>
    <row r="1333" spans="1:8" ht="14.4" x14ac:dyDescent="0.3">
      <c r="A1333" s="50">
        <v>4249</v>
      </c>
      <c r="B1333" s="51">
        <v>20009001109</v>
      </c>
      <c r="C1333" s="52" t="s">
        <v>3606</v>
      </c>
      <c r="D1333" s="52" t="s">
        <v>785</v>
      </c>
      <c r="E1333" s="52" t="s">
        <v>1970</v>
      </c>
      <c r="F1333" s="52" t="s">
        <v>1532</v>
      </c>
      <c r="G1333" s="52" t="s">
        <v>213</v>
      </c>
      <c r="H1333" s="52">
        <v>1</v>
      </c>
    </row>
    <row r="1334" spans="1:8" ht="14.4" x14ac:dyDescent="0.3">
      <c r="A1334" s="50">
        <v>4250</v>
      </c>
      <c r="B1334" s="51">
        <v>20000680024</v>
      </c>
      <c r="C1334" s="52" t="s">
        <v>3620</v>
      </c>
      <c r="D1334" s="52" t="s">
        <v>799</v>
      </c>
      <c r="E1334" s="52" t="s">
        <v>2895</v>
      </c>
      <c r="F1334" s="52" t="s">
        <v>618</v>
      </c>
      <c r="G1334" s="52" t="s">
        <v>213</v>
      </c>
      <c r="H1334" s="52">
        <v>1</v>
      </c>
    </row>
    <row r="1335" spans="1:8" ht="14.4" x14ac:dyDescent="0.3">
      <c r="A1335" s="50">
        <v>4251</v>
      </c>
      <c r="B1335" s="51">
        <v>20000800025</v>
      </c>
      <c r="C1335" s="52" t="s">
        <v>3621</v>
      </c>
      <c r="D1335" s="52" t="s">
        <v>3622</v>
      </c>
      <c r="E1335" s="52" t="s">
        <v>3623</v>
      </c>
      <c r="F1335" s="52" t="s">
        <v>618</v>
      </c>
      <c r="G1335" s="52" t="s">
        <v>213</v>
      </c>
      <c r="H1335" s="52">
        <v>1</v>
      </c>
    </row>
    <row r="1336" spans="1:8" ht="14.4" x14ac:dyDescent="0.3">
      <c r="A1336" s="50">
        <v>4252</v>
      </c>
      <c r="B1336" s="51">
        <v>20001054112</v>
      </c>
      <c r="C1336" s="52" t="s">
        <v>3624</v>
      </c>
      <c r="D1336" s="52" t="s">
        <v>1252</v>
      </c>
      <c r="E1336" s="52" t="s">
        <v>3641</v>
      </c>
      <c r="F1336" s="52" t="s">
        <v>620</v>
      </c>
      <c r="G1336" s="52" t="s">
        <v>244</v>
      </c>
      <c r="H1336" s="52">
        <v>1</v>
      </c>
    </row>
    <row r="1337" spans="1:8" ht="14.4" x14ac:dyDescent="0.3">
      <c r="A1337" s="50">
        <v>4253</v>
      </c>
      <c r="B1337" s="51">
        <v>20009001103</v>
      </c>
      <c r="C1337" s="52" t="s">
        <v>3625</v>
      </c>
      <c r="D1337" s="52" t="s">
        <v>2630</v>
      </c>
      <c r="E1337" s="52" t="s">
        <v>1970</v>
      </c>
      <c r="F1337" s="52" t="s">
        <v>1056</v>
      </c>
      <c r="G1337" s="52" t="s">
        <v>244</v>
      </c>
      <c r="H1337" s="52">
        <v>1</v>
      </c>
    </row>
    <row r="1338" spans="1:8" ht="14.4" x14ac:dyDescent="0.3">
      <c r="A1338" s="50">
        <v>4254</v>
      </c>
      <c r="B1338" s="51">
        <v>20000950132</v>
      </c>
      <c r="C1338" s="52" t="s">
        <v>673</v>
      </c>
      <c r="D1338" s="52" t="s">
        <v>1748</v>
      </c>
      <c r="E1338" s="52" t="s">
        <v>2751</v>
      </c>
      <c r="F1338" s="52" t="s">
        <v>2765</v>
      </c>
      <c r="G1338" s="52" t="s">
        <v>213</v>
      </c>
      <c r="H1338" s="52">
        <v>1</v>
      </c>
    </row>
    <row r="1339" spans="1:8" ht="14.4" x14ac:dyDescent="0.3">
      <c r="A1339" s="50">
        <v>4255</v>
      </c>
      <c r="B1339" s="51">
        <v>20000360010</v>
      </c>
      <c r="C1339" s="52" t="s">
        <v>3642</v>
      </c>
      <c r="D1339" s="52" t="s">
        <v>1748</v>
      </c>
      <c r="E1339" s="52" t="s">
        <v>3619</v>
      </c>
      <c r="F1339" s="52" t="s">
        <v>664</v>
      </c>
      <c r="G1339" s="52" t="s">
        <v>213</v>
      </c>
      <c r="H1339" s="52">
        <v>1</v>
      </c>
    </row>
    <row r="1340" spans="1:8" ht="14.4" x14ac:dyDescent="0.3">
      <c r="A1340" s="50">
        <v>4256</v>
      </c>
      <c r="B1340" s="51">
        <v>20000500003</v>
      </c>
      <c r="C1340" s="52" t="s">
        <v>1171</v>
      </c>
      <c r="D1340" s="52" t="s">
        <v>700</v>
      </c>
      <c r="E1340" s="52" t="s">
        <v>3426</v>
      </c>
      <c r="F1340" s="52" t="s">
        <v>618</v>
      </c>
      <c r="G1340" s="52" t="s">
        <v>213</v>
      </c>
      <c r="H1340" s="52">
        <v>1</v>
      </c>
    </row>
    <row r="1341" spans="1:8" ht="14.4" x14ac:dyDescent="0.3">
      <c r="A1341" s="50">
        <v>4257</v>
      </c>
      <c r="B1341" s="51">
        <v>20022001104</v>
      </c>
      <c r="C1341" s="52" t="s">
        <v>851</v>
      </c>
      <c r="D1341" s="52" t="s">
        <v>1796</v>
      </c>
      <c r="E1341" s="52" t="s">
        <v>2100</v>
      </c>
      <c r="F1341" s="52" t="s">
        <v>620</v>
      </c>
      <c r="G1341" s="52" t="s">
        <v>213</v>
      </c>
      <c r="H1341" s="52">
        <v>1</v>
      </c>
    </row>
    <row r="1342" spans="1:8" ht="14.4" x14ac:dyDescent="0.3">
      <c r="A1342" s="50">
        <v>4258</v>
      </c>
      <c r="B1342" s="51">
        <v>20001054089</v>
      </c>
      <c r="C1342" s="52" t="s">
        <v>3643</v>
      </c>
      <c r="D1342" s="52" t="s">
        <v>3644</v>
      </c>
      <c r="E1342" s="52" t="s">
        <v>1326</v>
      </c>
      <c r="F1342" s="52" t="s">
        <v>1086</v>
      </c>
      <c r="G1342" s="52" t="s">
        <v>145</v>
      </c>
      <c r="H1342" s="52">
        <v>1</v>
      </c>
    </row>
    <row r="1343" spans="1:8" ht="14.4" x14ac:dyDescent="0.3">
      <c r="A1343" s="50">
        <v>4259</v>
      </c>
      <c r="B1343" s="51">
        <v>20001104088</v>
      </c>
      <c r="C1343" s="52" t="s">
        <v>3634</v>
      </c>
      <c r="D1343" s="52" t="s">
        <v>744</v>
      </c>
      <c r="E1343" s="52" t="s">
        <v>1716</v>
      </c>
      <c r="F1343" s="52" t="s">
        <v>620</v>
      </c>
      <c r="G1343" s="52" t="s">
        <v>244</v>
      </c>
      <c r="H1343" s="52">
        <v>1</v>
      </c>
    </row>
    <row r="1344" spans="1:8" ht="14.4" x14ac:dyDescent="0.3">
      <c r="A1344" s="50">
        <v>4260</v>
      </c>
      <c r="B1344" s="51">
        <v>20001290018</v>
      </c>
      <c r="C1344" s="52" t="s">
        <v>3635</v>
      </c>
      <c r="D1344" s="52" t="s">
        <v>1108</v>
      </c>
      <c r="E1344" s="52" t="s">
        <v>3660</v>
      </c>
      <c r="F1344" s="52" t="s">
        <v>618</v>
      </c>
      <c r="G1344" s="52" t="s">
        <v>213</v>
      </c>
      <c r="H1344" s="52">
        <v>1</v>
      </c>
    </row>
    <row r="1345" spans="1:8" ht="14.4" x14ac:dyDescent="0.3">
      <c r="A1345" s="50">
        <v>4261</v>
      </c>
      <c r="B1345" s="51">
        <v>20000110105</v>
      </c>
      <c r="C1345" s="52" t="s">
        <v>1579</v>
      </c>
      <c r="D1345" s="52" t="s">
        <v>844</v>
      </c>
      <c r="E1345" s="52" t="s">
        <v>2607</v>
      </c>
      <c r="F1345" s="52" t="s">
        <v>628</v>
      </c>
      <c r="G1345" s="52" t="s">
        <v>213</v>
      </c>
      <c r="H1345" s="52">
        <v>1</v>
      </c>
    </row>
    <row r="1346" spans="1:8" ht="14.4" x14ac:dyDescent="0.3">
      <c r="A1346" s="50">
        <v>4262</v>
      </c>
      <c r="B1346" s="51">
        <v>20001102068</v>
      </c>
      <c r="C1346" s="52" t="s">
        <v>3661</v>
      </c>
      <c r="D1346" s="52" t="s">
        <v>3662</v>
      </c>
      <c r="E1346" s="52" t="s">
        <v>1631</v>
      </c>
      <c r="F1346" s="52" t="s">
        <v>628</v>
      </c>
      <c r="G1346" s="52" t="s">
        <v>213</v>
      </c>
      <c r="H1346" s="52">
        <v>1</v>
      </c>
    </row>
    <row r="1347" spans="1:8" ht="14.4" x14ac:dyDescent="0.3">
      <c r="A1347" s="50">
        <v>4263</v>
      </c>
      <c r="B1347" s="51">
        <v>20022001102</v>
      </c>
      <c r="C1347" s="52" t="s">
        <v>3663</v>
      </c>
      <c r="D1347" s="52" t="s">
        <v>719</v>
      </c>
      <c r="E1347" s="52" t="s">
        <v>3468</v>
      </c>
      <c r="F1347" s="52" t="s">
        <v>628</v>
      </c>
      <c r="G1347" s="52" t="s">
        <v>213</v>
      </c>
      <c r="H1347" s="52">
        <v>1</v>
      </c>
    </row>
    <row r="1348" spans="1:8" ht="14.4" x14ac:dyDescent="0.3">
      <c r="A1348" s="50">
        <v>4264</v>
      </c>
      <c r="B1348" s="51">
        <v>20001104088</v>
      </c>
      <c r="C1348" s="52" t="s">
        <v>3664</v>
      </c>
      <c r="D1348" s="52" t="s">
        <v>3665</v>
      </c>
      <c r="E1348" s="52" t="s">
        <v>1639</v>
      </c>
      <c r="F1348" s="52" t="s">
        <v>620</v>
      </c>
      <c r="G1348" s="52" t="s">
        <v>213</v>
      </c>
      <c r="H1348" s="52">
        <v>1</v>
      </c>
    </row>
    <row r="1349" spans="1:8" ht="14.4" x14ac:dyDescent="0.3">
      <c r="A1349" s="50">
        <v>4265</v>
      </c>
      <c r="B1349" s="51">
        <v>20000650027</v>
      </c>
      <c r="C1349" s="52" t="s">
        <v>3680</v>
      </c>
      <c r="D1349" s="52" t="s">
        <v>3681</v>
      </c>
      <c r="E1349" s="52" t="s">
        <v>1165</v>
      </c>
      <c r="F1349" s="52" t="s">
        <v>618</v>
      </c>
      <c r="G1349" s="52" t="s">
        <v>213</v>
      </c>
      <c r="H1349" s="52">
        <v>1</v>
      </c>
    </row>
    <row r="1350" spans="1:8" ht="14.4" x14ac:dyDescent="0.3">
      <c r="A1350" s="50">
        <v>4266</v>
      </c>
      <c r="B1350" s="51">
        <v>20000310010</v>
      </c>
      <c r="C1350" s="52" t="s">
        <v>3682</v>
      </c>
      <c r="D1350" s="52" t="s">
        <v>3683</v>
      </c>
      <c r="E1350" s="52" t="s">
        <v>2922</v>
      </c>
      <c r="F1350" s="52" t="s">
        <v>664</v>
      </c>
      <c r="G1350" s="52" t="s">
        <v>213</v>
      </c>
      <c r="H1350" s="52">
        <v>0.5</v>
      </c>
    </row>
    <row r="1351" spans="1:8" ht="14.4" x14ac:dyDescent="0.3">
      <c r="A1351" s="50">
        <v>4267</v>
      </c>
      <c r="B1351" s="51">
        <v>20001052065</v>
      </c>
      <c r="C1351" s="52" t="s">
        <v>1288</v>
      </c>
      <c r="D1351" s="52" t="s">
        <v>1289</v>
      </c>
      <c r="E1351" s="52" t="s">
        <v>1326</v>
      </c>
      <c r="F1351" s="52" t="s">
        <v>628</v>
      </c>
      <c r="G1351" s="52" t="s">
        <v>213</v>
      </c>
      <c r="H1351" s="52">
        <v>1</v>
      </c>
    </row>
    <row r="1352" spans="1:8" ht="14.4" x14ac:dyDescent="0.3">
      <c r="A1352" s="50">
        <v>4268</v>
      </c>
      <c r="B1352" s="51">
        <v>20009001108</v>
      </c>
      <c r="C1352" s="52" t="s">
        <v>3684</v>
      </c>
      <c r="D1352" s="52" t="s">
        <v>870</v>
      </c>
      <c r="E1352" s="52" t="s">
        <v>1993</v>
      </c>
      <c r="F1352" s="52" t="s">
        <v>628</v>
      </c>
      <c r="G1352" s="52" t="s">
        <v>213</v>
      </c>
      <c r="H1352" s="52">
        <v>1</v>
      </c>
    </row>
    <row r="1353" spans="1:8" ht="14.4" x14ac:dyDescent="0.3">
      <c r="A1353" s="50">
        <v>4269</v>
      </c>
      <c r="B1353" s="51">
        <v>20000800025</v>
      </c>
      <c r="C1353" s="52" t="s">
        <v>1647</v>
      </c>
      <c r="D1353" s="52" t="s">
        <v>706</v>
      </c>
      <c r="E1353" s="52" t="s">
        <v>2467</v>
      </c>
      <c r="F1353" s="52" t="s">
        <v>618</v>
      </c>
      <c r="G1353" s="52" t="s">
        <v>213</v>
      </c>
      <c r="H1353" s="52">
        <v>1</v>
      </c>
    </row>
    <row r="1354" spans="1:8" ht="14.4" x14ac:dyDescent="0.3">
      <c r="A1354" s="50">
        <v>4270</v>
      </c>
      <c r="B1354" s="51">
        <v>20000670023</v>
      </c>
      <c r="C1354" s="52" t="s">
        <v>3693</v>
      </c>
      <c r="D1354" s="52" t="s">
        <v>844</v>
      </c>
      <c r="E1354" s="52" t="s">
        <v>3694</v>
      </c>
      <c r="F1354" s="52" t="s">
        <v>618</v>
      </c>
      <c r="G1354" s="52" t="s">
        <v>213</v>
      </c>
      <c r="H1354" s="52">
        <v>1</v>
      </c>
    </row>
    <row r="1355" spans="1:8" ht="14.4" x14ac:dyDescent="0.3">
      <c r="A1355" s="50">
        <v>4271</v>
      </c>
      <c r="B1355" s="51">
        <v>20000950132</v>
      </c>
      <c r="C1355" s="52" t="s">
        <v>836</v>
      </c>
      <c r="D1355" s="52" t="s">
        <v>3526</v>
      </c>
      <c r="E1355" s="52" t="s">
        <v>3695</v>
      </c>
      <c r="F1355" s="52" t="s">
        <v>2765</v>
      </c>
      <c r="G1355" s="52" t="s">
        <v>244</v>
      </c>
      <c r="H1355" s="52">
        <v>1</v>
      </c>
    </row>
    <row r="1356" spans="1:8" ht="14.4" x14ac:dyDescent="0.3">
      <c r="A1356" s="50">
        <v>4272</v>
      </c>
      <c r="B1356" s="51">
        <v>20001104088</v>
      </c>
      <c r="C1356" s="52" t="s">
        <v>3696</v>
      </c>
      <c r="D1356" s="52" t="s">
        <v>948</v>
      </c>
      <c r="E1356" s="52" t="s">
        <v>1716</v>
      </c>
      <c r="F1356" s="52" t="s">
        <v>620</v>
      </c>
      <c r="G1356" s="52" t="s">
        <v>213</v>
      </c>
      <c r="H1356" s="52">
        <v>1</v>
      </c>
    </row>
    <row r="1357" spans="1:8" ht="14.4" x14ac:dyDescent="0.3">
      <c r="A1357" s="50">
        <v>4273</v>
      </c>
      <c r="B1357" s="51">
        <v>20001104088</v>
      </c>
      <c r="C1357" s="52" t="s">
        <v>3697</v>
      </c>
      <c r="D1357" s="52" t="s">
        <v>3698</v>
      </c>
      <c r="E1357" s="52" t="s">
        <v>1377</v>
      </c>
      <c r="F1357" s="52" t="s">
        <v>620</v>
      </c>
      <c r="G1357" s="52" t="s">
        <v>213</v>
      </c>
      <c r="H1357" s="52">
        <v>1</v>
      </c>
    </row>
    <row r="1358" spans="1:8" ht="14.4" x14ac:dyDescent="0.3">
      <c r="A1358" s="50">
        <v>4274</v>
      </c>
      <c r="B1358" s="51">
        <v>20000310010</v>
      </c>
      <c r="C1358" s="52" t="s">
        <v>3711</v>
      </c>
      <c r="D1358" s="52" t="s">
        <v>2208</v>
      </c>
      <c r="E1358" s="52" t="s">
        <v>3172</v>
      </c>
      <c r="F1358" s="52" t="s">
        <v>664</v>
      </c>
      <c r="G1358" s="52" t="s">
        <v>213</v>
      </c>
      <c r="H1358" s="52">
        <v>1</v>
      </c>
    </row>
    <row r="1359" spans="1:8" ht="14.4" x14ac:dyDescent="0.3">
      <c r="A1359" s="50">
        <v>4275</v>
      </c>
      <c r="B1359" s="51">
        <v>20001290018</v>
      </c>
      <c r="C1359" s="52" t="s">
        <v>3712</v>
      </c>
      <c r="D1359" s="52" t="s">
        <v>3368</v>
      </c>
      <c r="E1359" s="52" t="s">
        <v>3713</v>
      </c>
      <c r="F1359" s="52" t="s">
        <v>618</v>
      </c>
      <c r="G1359" s="52" t="s">
        <v>213</v>
      </c>
      <c r="H1359" s="52">
        <v>1</v>
      </c>
    </row>
    <row r="1360" spans="1:8" ht="14.4" x14ac:dyDescent="0.3">
      <c r="A1360" s="50">
        <v>4276</v>
      </c>
      <c r="B1360" s="51">
        <v>20000110105</v>
      </c>
      <c r="C1360" s="52" t="s">
        <v>3730</v>
      </c>
      <c r="D1360" s="52" t="s">
        <v>697</v>
      </c>
      <c r="E1360" s="52" t="s">
        <v>3731</v>
      </c>
      <c r="F1360" s="52" t="s">
        <v>628</v>
      </c>
      <c r="G1360" s="52" t="s">
        <v>213</v>
      </c>
      <c r="H1360" s="52">
        <v>1</v>
      </c>
    </row>
    <row r="1361" spans="1:8" ht="14.4" x14ac:dyDescent="0.3">
      <c r="A1361" s="50">
        <v>4277</v>
      </c>
      <c r="B1361" s="51">
        <v>20001102068</v>
      </c>
      <c r="C1361" s="52" t="s">
        <v>3714</v>
      </c>
      <c r="D1361" s="52" t="s">
        <v>3715</v>
      </c>
      <c r="E1361" s="52" t="s">
        <v>1642</v>
      </c>
      <c r="F1361" s="52" t="s">
        <v>628</v>
      </c>
      <c r="G1361" s="52" t="s">
        <v>213</v>
      </c>
      <c r="H1361" s="52">
        <v>1</v>
      </c>
    </row>
    <row r="1362" spans="1:8" ht="14.4" x14ac:dyDescent="0.3">
      <c r="A1362" s="50">
        <v>4278</v>
      </c>
      <c r="B1362" s="51">
        <v>20020114013</v>
      </c>
      <c r="C1362" s="52" t="s">
        <v>1091</v>
      </c>
      <c r="D1362" s="52" t="s">
        <v>1822</v>
      </c>
      <c r="E1362" s="52" t="s">
        <v>2237</v>
      </c>
      <c r="F1362" s="52" t="s">
        <v>1086</v>
      </c>
      <c r="G1362" s="52" t="s">
        <v>213</v>
      </c>
      <c r="H1362" s="52">
        <v>1</v>
      </c>
    </row>
    <row r="1363" spans="1:8" ht="14.4" x14ac:dyDescent="0.3">
      <c r="A1363" s="50">
        <v>4279</v>
      </c>
      <c r="B1363" s="51">
        <v>20020094091</v>
      </c>
      <c r="C1363" s="52" t="s">
        <v>649</v>
      </c>
      <c r="D1363" s="52" t="s">
        <v>3732</v>
      </c>
      <c r="E1363" s="52" t="s">
        <v>2237</v>
      </c>
      <c r="F1363" s="52" t="s">
        <v>1086</v>
      </c>
      <c r="G1363" s="52" t="s">
        <v>213</v>
      </c>
      <c r="H1363" s="52">
        <v>1</v>
      </c>
    </row>
    <row r="1364" spans="1:8" ht="14.4" x14ac:dyDescent="0.3">
      <c r="A1364" s="50">
        <v>4280</v>
      </c>
      <c r="B1364" s="51">
        <v>20001140004</v>
      </c>
      <c r="C1364" s="52" t="s">
        <v>714</v>
      </c>
      <c r="D1364" s="52" t="s">
        <v>2338</v>
      </c>
      <c r="E1364" s="52" t="s">
        <v>1857</v>
      </c>
      <c r="F1364" s="52" t="s">
        <v>618</v>
      </c>
      <c r="G1364" s="52" t="s">
        <v>244</v>
      </c>
      <c r="H1364" s="52">
        <v>0.5</v>
      </c>
    </row>
    <row r="1365" spans="1:8" ht="14.4" x14ac:dyDescent="0.3">
      <c r="A1365" s="50">
        <v>4281</v>
      </c>
      <c r="B1365" s="51">
        <v>20009001112</v>
      </c>
      <c r="C1365" s="52" t="s">
        <v>3716</v>
      </c>
      <c r="D1365" s="52" t="s">
        <v>3717</v>
      </c>
      <c r="E1365" s="52" t="s">
        <v>1993</v>
      </c>
      <c r="F1365" s="52" t="s">
        <v>620</v>
      </c>
      <c r="G1365" s="52" t="s">
        <v>244</v>
      </c>
      <c r="H1365" s="52">
        <v>1</v>
      </c>
    </row>
    <row r="1366" spans="1:8" ht="14.4" x14ac:dyDescent="0.3">
      <c r="A1366" s="50">
        <v>4282</v>
      </c>
      <c r="B1366" s="51">
        <v>20000570123</v>
      </c>
      <c r="C1366" s="52" t="s">
        <v>3733</v>
      </c>
      <c r="D1366" s="52" t="s">
        <v>1121</v>
      </c>
      <c r="E1366" s="52" t="s">
        <v>1031</v>
      </c>
      <c r="F1366" s="52" t="s">
        <v>1086</v>
      </c>
      <c r="G1366" s="52" t="s">
        <v>213</v>
      </c>
      <c r="H1366" s="52">
        <v>1</v>
      </c>
    </row>
    <row r="1367" spans="1:8" ht="14.4" x14ac:dyDescent="0.3">
      <c r="A1367" s="50">
        <v>4283</v>
      </c>
      <c r="B1367" s="51">
        <v>20001052065</v>
      </c>
      <c r="C1367" s="52" t="s">
        <v>2412</v>
      </c>
      <c r="D1367" s="52" t="s">
        <v>1980</v>
      </c>
      <c r="E1367" s="52" t="s">
        <v>1326</v>
      </c>
      <c r="F1367" s="52" t="s">
        <v>628</v>
      </c>
      <c r="G1367" s="52" t="s">
        <v>213</v>
      </c>
      <c r="H1367" s="52">
        <v>1</v>
      </c>
    </row>
    <row r="1368" spans="1:8" ht="14.4" x14ac:dyDescent="0.3">
      <c r="A1368" s="50">
        <v>4284</v>
      </c>
      <c r="B1368" s="51">
        <v>20000550020</v>
      </c>
      <c r="C1368" s="52" t="s">
        <v>947</v>
      </c>
      <c r="D1368" s="52" t="s">
        <v>3734</v>
      </c>
      <c r="E1368" s="52" t="s">
        <v>3194</v>
      </c>
      <c r="F1368" s="52" t="s">
        <v>618</v>
      </c>
      <c r="G1368" s="52" t="s">
        <v>244</v>
      </c>
      <c r="H1368" s="52">
        <v>1</v>
      </c>
    </row>
    <row r="1369" spans="1:8" ht="14.4" x14ac:dyDescent="0.3">
      <c r="A1369" s="50">
        <v>4285</v>
      </c>
      <c r="B1369" s="51">
        <v>20020040014</v>
      </c>
      <c r="C1369" s="52" t="s">
        <v>3195</v>
      </c>
      <c r="D1369" s="52" t="s">
        <v>3735</v>
      </c>
      <c r="E1369" s="52" t="s">
        <v>3736</v>
      </c>
      <c r="F1369" s="52" t="s">
        <v>618</v>
      </c>
      <c r="G1369" s="52" t="s">
        <v>213</v>
      </c>
      <c r="H1369" s="52">
        <v>1</v>
      </c>
    </row>
    <row r="1370" spans="1:8" ht="14.4" x14ac:dyDescent="0.3">
      <c r="A1370" s="50">
        <v>4286</v>
      </c>
      <c r="B1370" s="51">
        <v>20020051043</v>
      </c>
      <c r="C1370" s="52" t="s">
        <v>1416</v>
      </c>
      <c r="D1370" s="52" t="s">
        <v>938</v>
      </c>
      <c r="E1370" s="52" t="s">
        <v>2209</v>
      </c>
      <c r="F1370" s="52" t="s">
        <v>1056</v>
      </c>
      <c r="G1370" s="52" t="s">
        <v>213</v>
      </c>
      <c r="H1370" s="52">
        <v>1</v>
      </c>
    </row>
    <row r="1371" spans="1:8" ht="14.4" x14ac:dyDescent="0.3">
      <c r="A1371" s="50">
        <v>4287</v>
      </c>
      <c r="B1371" s="51">
        <v>20001102068</v>
      </c>
      <c r="C1371" s="52" t="s">
        <v>1880</v>
      </c>
      <c r="D1371" s="52" t="s">
        <v>2042</v>
      </c>
      <c r="E1371" s="52" t="s">
        <v>3802</v>
      </c>
      <c r="F1371" s="52" t="s">
        <v>628</v>
      </c>
      <c r="G1371" s="52" t="s">
        <v>244</v>
      </c>
      <c r="H1371" s="52">
        <v>1</v>
      </c>
    </row>
    <row r="1372" spans="1:8" ht="14.4" x14ac:dyDescent="0.3">
      <c r="A1372" s="50">
        <v>4288</v>
      </c>
      <c r="B1372" s="51">
        <v>20000310010</v>
      </c>
      <c r="C1372" s="52" t="s">
        <v>3737</v>
      </c>
      <c r="D1372" s="52" t="s">
        <v>3738</v>
      </c>
      <c r="E1372" s="52" t="s">
        <v>2922</v>
      </c>
      <c r="F1372" s="52" t="s">
        <v>664</v>
      </c>
      <c r="G1372" s="52" t="s">
        <v>244</v>
      </c>
      <c r="H1372" s="52">
        <v>0.5</v>
      </c>
    </row>
    <row r="1373" spans="1:8" ht="14.4" x14ac:dyDescent="0.3">
      <c r="A1373" s="50">
        <v>4289</v>
      </c>
      <c r="B1373" s="51">
        <v>20000570122</v>
      </c>
      <c r="C1373" s="52" t="s">
        <v>3739</v>
      </c>
      <c r="D1373" s="52" t="s">
        <v>3740</v>
      </c>
      <c r="E1373" s="52" t="s">
        <v>1031</v>
      </c>
      <c r="F1373" s="52" t="s">
        <v>628</v>
      </c>
      <c r="G1373" s="52" t="s">
        <v>213</v>
      </c>
      <c r="H1373" s="52">
        <v>1</v>
      </c>
    </row>
    <row r="1374" spans="1:8" ht="14.4" x14ac:dyDescent="0.3">
      <c r="A1374" s="50">
        <v>4290</v>
      </c>
      <c r="B1374" s="51">
        <v>20000310010</v>
      </c>
      <c r="C1374" s="52" t="s">
        <v>3761</v>
      </c>
      <c r="D1374" s="52" t="s">
        <v>1231</v>
      </c>
      <c r="E1374" s="52" t="s">
        <v>3172</v>
      </c>
      <c r="F1374" s="52" t="s">
        <v>664</v>
      </c>
      <c r="G1374" s="52" t="s">
        <v>213</v>
      </c>
      <c r="H1374" s="52">
        <v>1</v>
      </c>
    </row>
    <row r="1375" spans="1:8" ht="14.4" x14ac:dyDescent="0.3">
      <c r="A1375" s="50">
        <v>4291</v>
      </c>
      <c r="B1375" s="51">
        <v>20001054085</v>
      </c>
      <c r="C1375" s="52" t="s">
        <v>1176</v>
      </c>
      <c r="D1375" s="52" t="s">
        <v>1939</v>
      </c>
      <c r="E1375" s="52" t="s">
        <v>1326</v>
      </c>
      <c r="F1375" s="52" t="s">
        <v>620</v>
      </c>
      <c r="G1375" s="52" t="s">
        <v>213</v>
      </c>
      <c r="H1375" s="52">
        <v>1</v>
      </c>
    </row>
    <row r="1376" spans="1:8" ht="14.4" x14ac:dyDescent="0.3">
      <c r="A1376" s="50">
        <v>4292</v>
      </c>
      <c r="B1376" s="51">
        <v>20001054085</v>
      </c>
      <c r="C1376" s="52" t="s">
        <v>2944</v>
      </c>
      <c r="D1376" s="52" t="s">
        <v>1154</v>
      </c>
      <c r="E1376" s="52" t="s">
        <v>1326</v>
      </c>
      <c r="F1376" s="52" t="s">
        <v>620</v>
      </c>
      <c r="G1376" s="52" t="s">
        <v>213</v>
      </c>
      <c r="H1376" s="52">
        <v>1</v>
      </c>
    </row>
    <row r="1377" spans="1:8" ht="14.4" x14ac:dyDescent="0.3">
      <c r="A1377" s="50">
        <v>4293</v>
      </c>
      <c r="B1377" s="51">
        <v>20009001107</v>
      </c>
      <c r="C1377" s="52" t="s">
        <v>3762</v>
      </c>
      <c r="D1377" s="52" t="s">
        <v>1530</v>
      </c>
      <c r="E1377" s="52" t="s">
        <v>1970</v>
      </c>
      <c r="F1377" s="52" t="s">
        <v>1441</v>
      </c>
      <c r="G1377" s="52" t="s">
        <v>213</v>
      </c>
      <c r="H1377" s="52">
        <v>1</v>
      </c>
    </row>
    <row r="1378" spans="1:8" ht="14.4" x14ac:dyDescent="0.3">
      <c r="A1378" s="50">
        <v>4295</v>
      </c>
      <c r="B1378" s="51">
        <v>20000550020</v>
      </c>
      <c r="C1378" s="52" t="s">
        <v>3763</v>
      </c>
      <c r="D1378" s="52" t="s">
        <v>3764</v>
      </c>
      <c r="E1378" s="52" t="s">
        <v>1011</v>
      </c>
      <c r="F1378" s="52" t="s">
        <v>618</v>
      </c>
      <c r="G1378" s="52" t="s">
        <v>213</v>
      </c>
      <c r="H1378" s="52">
        <v>1</v>
      </c>
    </row>
    <row r="1379" spans="1:8" ht="14.4" x14ac:dyDescent="0.3">
      <c r="A1379" s="50">
        <v>4296</v>
      </c>
      <c r="B1379" s="51">
        <v>20001053164</v>
      </c>
      <c r="C1379" s="52" t="s">
        <v>3765</v>
      </c>
      <c r="D1379" s="52" t="s">
        <v>712</v>
      </c>
      <c r="E1379" s="52" t="s">
        <v>1468</v>
      </c>
      <c r="F1379" s="52" t="s">
        <v>3766</v>
      </c>
      <c r="G1379" s="52" t="s">
        <v>213</v>
      </c>
      <c r="H1379" s="52">
        <v>1</v>
      </c>
    </row>
    <row r="1380" spans="1:8" ht="14.4" x14ac:dyDescent="0.3">
      <c r="A1380" s="50">
        <v>4297</v>
      </c>
      <c r="B1380" s="51">
        <v>20001053164</v>
      </c>
      <c r="C1380" s="52" t="s">
        <v>938</v>
      </c>
      <c r="D1380" s="52" t="s">
        <v>1485</v>
      </c>
      <c r="E1380" s="52" t="s">
        <v>1326</v>
      </c>
      <c r="F1380" s="52" t="s">
        <v>3766</v>
      </c>
      <c r="G1380" s="52" t="s">
        <v>213</v>
      </c>
      <c r="H1380" s="52">
        <v>1</v>
      </c>
    </row>
    <row r="1381" spans="1:8" ht="14.4" x14ac:dyDescent="0.3">
      <c r="A1381" s="50">
        <v>4298</v>
      </c>
      <c r="B1381" s="51">
        <v>20009001121</v>
      </c>
      <c r="C1381" s="52" t="s">
        <v>3767</v>
      </c>
      <c r="D1381" s="52" t="s">
        <v>741</v>
      </c>
      <c r="E1381" s="52" t="s">
        <v>3768</v>
      </c>
      <c r="F1381" s="52" t="s">
        <v>3766</v>
      </c>
      <c r="G1381" s="52" t="s">
        <v>213</v>
      </c>
      <c r="H1381" s="52">
        <v>1</v>
      </c>
    </row>
    <row r="1382" spans="1:8" ht="14.4" x14ac:dyDescent="0.3">
      <c r="A1382" s="50">
        <v>4299</v>
      </c>
      <c r="B1382" s="51">
        <v>20001103082</v>
      </c>
      <c r="C1382" s="52" t="s">
        <v>2673</v>
      </c>
      <c r="D1382" s="52" t="s">
        <v>668</v>
      </c>
      <c r="E1382" s="52" t="s">
        <v>3769</v>
      </c>
      <c r="F1382" s="52" t="s">
        <v>3766</v>
      </c>
      <c r="G1382" s="52" t="s">
        <v>213</v>
      </c>
      <c r="H1382" s="52">
        <v>1</v>
      </c>
    </row>
    <row r="1383" spans="1:8" ht="14.4" x14ac:dyDescent="0.3">
      <c r="A1383" s="50">
        <v>4300</v>
      </c>
      <c r="B1383" s="51">
        <v>20001103082</v>
      </c>
      <c r="C1383" s="52" t="s">
        <v>3770</v>
      </c>
      <c r="D1383" s="52" t="s">
        <v>1184</v>
      </c>
      <c r="E1383" s="52" t="s">
        <v>1031</v>
      </c>
      <c r="F1383" s="52" t="s">
        <v>3766</v>
      </c>
      <c r="G1383" s="52" t="s">
        <v>213</v>
      </c>
      <c r="H1383" s="52">
        <v>1</v>
      </c>
    </row>
    <row r="1384" spans="1:8" ht="14.4" x14ac:dyDescent="0.3">
      <c r="A1384" s="50">
        <v>4301</v>
      </c>
      <c r="B1384" s="51">
        <v>20009001121</v>
      </c>
      <c r="C1384" s="52" t="s">
        <v>836</v>
      </c>
      <c r="D1384" s="52" t="s">
        <v>1474</v>
      </c>
      <c r="E1384" s="52" t="s">
        <v>1970</v>
      </c>
      <c r="F1384" s="52" t="s">
        <v>3766</v>
      </c>
      <c r="G1384" s="52" t="s">
        <v>213</v>
      </c>
      <c r="H1384" s="52">
        <v>1</v>
      </c>
    </row>
    <row r="1385" spans="1:8" ht="14.4" x14ac:dyDescent="0.3">
      <c r="A1385" s="50">
        <v>4307</v>
      </c>
      <c r="B1385" s="51">
        <v>20001260017</v>
      </c>
      <c r="C1385" s="52" t="s">
        <v>3771</v>
      </c>
      <c r="D1385" s="52" t="s">
        <v>3772</v>
      </c>
      <c r="E1385" s="52" t="s">
        <v>1888</v>
      </c>
      <c r="F1385" s="52" t="s">
        <v>618</v>
      </c>
      <c r="G1385" s="52" t="s">
        <v>213</v>
      </c>
      <c r="H1385" s="52">
        <v>1</v>
      </c>
    </row>
    <row r="1386" spans="1:8" ht="14.4" x14ac:dyDescent="0.3">
      <c r="A1386" s="50">
        <v>4309</v>
      </c>
      <c r="B1386" s="51">
        <v>20009001108</v>
      </c>
      <c r="C1386" s="52" t="s">
        <v>3803</v>
      </c>
      <c r="D1386" s="52" t="s">
        <v>844</v>
      </c>
      <c r="E1386" s="52" t="s">
        <v>1993</v>
      </c>
      <c r="F1386" s="52" t="s">
        <v>628</v>
      </c>
      <c r="G1386" s="52" t="s">
        <v>213</v>
      </c>
      <c r="H1386" s="52">
        <v>1</v>
      </c>
    </row>
    <row r="1387" spans="1:8" ht="14.4" x14ac:dyDescent="0.3">
      <c r="A1387" s="50">
        <v>4311</v>
      </c>
      <c r="B1387" s="51">
        <v>20000950132</v>
      </c>
      <c r="C1387" s="52" t="s">
        <v>3804</v>
      </c>
      <c r="D1387" s="52" t="s">
        <v>2217</v>
      </c>
      <c r="E1387" s="52" t="s">
        <v>3805</v>
      </c>
      <c r="F1387" s="52" t="s">
        <v>2765</v>
      </c>
      <c r="G1387" s="52" t="s">
        <v>213</v>
      </c>
      <c r="H1387" s="52">
        <v>1</v>
      </c>
    </row>
    <row r="1388" spans="1:8" ht="14.4" x14ac:dyDescent="0.3">
      <c r="A1388" s="50">
        <v>4312</v>
      </c>
      <c r="B1388" s="51">
        <v>20020094087</v>
      </c>
      <c r="C1388" s="52" t="s">
        <v>3806</v>
      </c>
      <c r="D1388" s="52" t="s">
        <v>3807</v>
      </c>
      <c r="E1388" s="52" t="s">
        <v>2247</v>
      </c>
      <c r="F1388" s="52" t="s">
        <v>620</v>
      </c>
      <c r="G1388" s="52" t="s">
        <v>244</v>
      </c>
      <c r="H1388" s="52">
        <v>1</v>
      </c>
    </row>
    <row r="1389" spans="1:8" ht="14.4" x14ac:dyDescent="0.3">
      <c r="A1389" s="50">
        <v>4313</v>
      </c>
      <c r="B1389" s="51">
        <v>20001102068</v>
      </c>
      <c r="C1389" s="52" t="s">
        <v>3808</v>
      </c>
      <c r="D1389" s="52" t="s">
        <v>3809</v>
      </c>
      <c r="E1389" s="52" t="s">
        <v>1745</v>
      </c>
      <c r="F1389" s="52" t="s">
        <v>628</v>
      </c>
      <c r="G1389" s="52" t="s">
        <v>213</v>
      </c>
      <c r="H1389" s="52">
        <v>1</v>
      </c>
    </row>
    <row r="1390" spans="1:8" ht="14.4" x14ac:dyDescent="0.3">
      <c r="A1390" s="50">
        <v>4314</v>
      </c>
      <c r="B1390" s="51">
        <v>20020053076</v>
      </c>
      <c r="C1390" s="52" t="s">
        <v>1438</v>
      </c>
      <c r="D1390" s="52" t="s">
        <v>3810</v>
      </c>
      <c r="E1390" s="52" t="s">
        <v>3618</v>
      </c>
      <c r="F1390" s="52" t="s">
        <v>1313</v>
      </c>
      <c r="G1390" s="52" t="s">
        <v>213</v>
      </c>
      <c r="H1390" s="52">
        <v>1</v>
      </c>
    </row>
    <row r="1391" spans="1:8" ht="14.4" x14ac:dyDescent="0.3">
      <c r="A1391" s="50">
        <v>4316</v>
      </c>
      <c r="B1391" s="51">
        <v>20001140004</v>
      </c>
      <c r="C1391" s="52" t="s">
        <v>3811</v>
      </c>
      <c r="D1391" s="52" t="s">
        <v>3812</v>
      </c>
      <c r="E1391" s="52" t="s">
        <v>3813</v>
      </c>
      <c r="F1391" s="52" t="s">
        <v>618</v>
      </c>
      <c r="G1391" s="52" t="s">
        <v>213</v>
      </c>
      <c r="H1391" s="52">
        <v>1</v>
      </c>
    </row>
    <row r="1392" spans="1:8" ht="14.4" x14ac:dyDescent="0.3">
      <c r="A1392" s="50">
        <v>4317</v>
      </c>
      <c r="B1392" s="51">
        <v>20000950132</v>
      </c>
      <c r="C1392" s="52" t="s">
        <v>3814</v>
      </c>
      <c r="D1392" s="52" t="s">
        <v>1316</v>
      </c>
      <c r="E1392" s="52" t="s">
        <v>2751</v>
      </c>
      <c r="F1392" s="52" t="s">
        <v>2765</v>
      </c>
      <c r="G1392" s="52" t="s">
        <v>213</v>
      </c>
      <c r="H1392" s="52">
        <v>1</v>
      </c>
    </row>
    <row r="1393" spans="1:8" ht="14.4" x14ac:dyDescent="0.3">
      <c r="A1393" s="50">
        <v>4318</v>
      </c>
      <c r="B1393" s="51">
        <v>20000110106</v>
      </c>
      <c r="C1393" s="52" t="s">
        <v>3842</v>
      </c>
      <c r="D1393" s="52" t="s">
        <v>855</v>
      </c>
      <c r="E1393" s="52" t="s">
        <v>633</v>
      </c>
      <c r="F1393" s="52" t="s">
        <v>620</v>
      </c>
      <c r="G1393" s="52" t="s">
        <v>213</v>
      </c>
      <c r="H1393" s="52">
        <v>1</v>
      </c>
    </row>
    <row r="1394" spans="1:8" ht="14.4" x14ac:dyDescent="0.3">
      <c r="A1394" s="50">
        <v>4320</v>
      </c>
      <c r="B1394" s="51">
        <v>20000310010</v>
      </c>
      <c r="C1394" s="52" t="s">
        <v>3843</v>
      </c>
      <c r="D1394" s="52" t="s">
        <v>3844</v>
      </c>
      <c r="E1394" s="52" t="s">
        <v>2922</v>
      </c>
      <c r="F1394" s="52" t="s">
        <v>664</v>
      </c>
      <c r="G1394" s="52" t="s">
        <v>244</v>
      </c>
      <c r="H1394" s="52">
        <v>0.5</v>
      </c>
    </row>
    <row r="1395" spans="1:8" ht="14.4" x14ac:dyDescent="0.3">
      <c r="A1395" s="50">
        <v>4321</v>
      </c>
      <c r="B1395" s="51">
        <v>20020120015</v>
      </c>
      <c r="C1395" s="52" t="s">
        <v>2965</v>
      </c>
      <c r="D1395" s="52" t="s">
        <v>1885</v>
      </c>
      <c r="E1395" s="52" t="s">
        <v>2237</v>
      </c>
      <c r="F1395" s="52" t="s">
        <v>618</v>
      </c>
      <c r="G1395" s="52" t="s">
        <v>213</v>
      </c>
      <c r="H1395" s="52">
        <v>1</v>
      </c>
    </row>
    <row r="1396" spans="1:8" ht="14.4" x14ac:dyDescent="0.3">
      <c r="A1396" s="50">
        <v>4322</v>
      </c>
      <c r="B1396" s="51">
        <v>20000310010</v>
      </c>
      <c r="C1396" s="52" t="s">
        <v>1821</v>
      </c>
      <c r="D1396" s="52" t="s">
        <v>700</v>
      </c>
      <c r="E1396" s="52" t="s">
        <v>2922</v>
      </c>
      <c r="F1396" s="52" t="s">
        <v>664</v>
      </c>
      <c r="G1396" s="52" t="s">
        <v>213</v>
      </c>
      <c r="H1396" s="52">
        <v>0.5</v>
      </c>
    </row>
    <row r="1397" spans="1:8" ht="14.4" x14ac:dyDescent="0.3">
      <c r="A1397" s="50">
        <v>4323</v>
      </c>
      <c r="B1397" s="51">
        <v>20009001108</v>
      </c>
      <c r="C1397" s="52" t="s">
        <v>3845</v>
      </c>
      <c r="D1397" s="52" t="s">
        <v>1344</v>
      </c>
      <c r="E1397" s="52" t="s">
        <v>1970</v>
      </c>
      <c r="F1397" s="52" t="s">
        <v>628</v>
      </c>
      <c r="G1397" s="52" t="s">
        <v>213</v>
      </c>
      <c r="H1397" s="52">
        <v>1</v>
      </c>
    </row>
    <row r="1398" spans="1:8" ht="14.4" x14ac:dyDescent="0.3">
      <c r="A1398" s="50">
        <v>4324</v>
      </c>
      <c r="B1398" s="51">
        <v>20000550020</v>
      </c>
      <c r="C1398" s="52" t="s">
        <v>3846</v>
      </c>
      <c r="D1398" s="52" t="s">
        <v>3847</v>
      </c>
      <c r="E1398" s="52" t="s">
        <v>3855</v>
      </c>
      <c r="F1398" s="52" t="s">
        <v>620</v>
      </c>
      <c r="G1398" s="52" t="s">
        <v>213</v>
      </c>
      <c r="H1398" s="52">
        <v>1</v>
      </c>
    </row>
    <row r="1399" spans="1:8" ht="14.4" x14ac:dyDescent="0.3">
      <c r="A1399" s="50">
        <v>4325</v>
      </c>
      <c r="B1399" s="51">
        <v>20000310010</v>
      </c>
      <c r="C1399" s="52" t="s">
        <v>1512</v>
      </c>
      <c r="D1399" s="52" t="s">
        <v>1172</v>
      </c>
      <c r="E1399" s="52" t="s">
        <v>2922</v>
      </c>
      <c r="F1399" s="52" t="s">
        <v>664</v>
      </c>
      <c r="G1399" s="52" t="s">
        <v>213</v>
      </c>
      <c r="H1399" s="52">
        <v>0.5</v>
      </c>
    </row>
    <row r="1400" spans="1:8" ht="14.4" x14ac:dyDescent="0.3">
      <c r="A1400" s="50">
        <v>4326</v>
      </c>
      <c r="B1400" s="51">
        <v>20000570009</v>
      </c>
      <c r="C1400" s="52" t="s">
        <v>3856</v>
      </c>
      <c r="D1400" s="52" t="s">
        <v>3857</v>
      </c>
      <c r="E1400" s="52" t="s">
        <v>1724</v>
      </c>
      <c r="F1400" s="52" t="s">
        <v>618</v>
      </c>
      <c r="G1400" s="52" t="s">
        <v>213</v>
      </c>
      <c r="H1400" s="52">
        <v>1</v>
      </c>
    </row>
    <row r="1401" spans="1:8" ht="14.4" x14ac:dyDescent="0.3">
      <c r="A1401" s="50">
        <v>4327</v>
      </c>
      <c r="B1401" s="51">
        <v>20009001109</v>
      </c>
      <c r="C1401" s="52" t="s">
        <v>3869</v>
      </c>
      <c r="D1401" s="52" t="s">
        <v>1282</v>
      </c>
      <c r="E1401" s="52" t="s">
        <v>1970</v>
      </c>
      <c r="F1401" s="52" t="s">
        <v>1532</v>
      </c>
      <c r="G1401" s="52" t="s">
        <v>213</v>
      </c>
      <c r="H1401" s="52">
        <v>1</v>
      </c>
    </row>
    <row r="1402" spans="1:8" ht="14.4" x14ac:dyDescent="0.3">
      <c r="A1402" s="50">
        <v>4328</v>
      </c>
      <c r="B1402" s="51">
        <v>20000360010</v>
      </c>
      <c r="C1402" s="52" t="s">
        <v>1256</v>
      </c>
      <c r="D1402" s="52" t="s">
        <v>1234</v>
      </c>
      <c r="E1402" s="52" t="s">
        <v>3870</v>
      </c>
      <c r="F1402" s="52" t="s">
        <v>664</v>
      </c>
      <c r="G1402" s="52" t="s">
        <v>213</v>
      </c>
      <c r="H1402" s="52">
        <v>1</v>
      </c>
    </row>
    <row r="1403" spans="1:8" ht="14.4" x14ac:dyDescent="0.3">
      <c r="A1403" s="50">
        <v>4329</v>
      </c>
      <c r="B1403" s="51">
        <v>20001054089</v>
      </c>
      <c r="C1403" s="52" t="s">
        <v>3871</v>
      </c>
      <c r="D1403" s="52" t="s">
        <v>1939</v>
      </c>
      <c r="E1403" s="52" t="s">
        <v>1326</v>
      </c>
      <c r="F1403" s="52" t="s">
        <v>1086</v>
      </c>
      <c r="G1403" s="52" t="s">
        <v>213</v>
      </c>
      <c r="H1403" s="52">
        <v>1</v>
      </c>
    </row>
    <row r="1404" spans="1:8" ht="14.4" x14ac:dyDescent="0.3">
      <c r="A1404" s="50">
        <v>4330</v>
      </c>
      <c r="B1404" s="51">
        <v>20000310010</v>
      </c>
      <c r="C1404" s="52" t="s">
        <v>3872</v>
      </c>
      <c r="D1404" s="52" t="s">
        <v>1164</v>
      </c>
      <c r="E1404" s="52" t="s">
        <v>2922</v>
      </c>
      <c r="F1404" s="52" t="s">
        <v>664</v>
      </c>
      <c r="G1404" s="52" t="s">
        <v>213</v>
      </c>
      <c r="H1404" s="52">
        <v>0.5</v>
      </c>
    </row>
    <row r="1405" spans="1:8" ht="14.4" x14ac:dyDescent="0.3">
      <c r="A1405" s="50">
        <v>6002</v>
      </c>
      <c r="B1405" s="51">
        <v>20001103084</v>
      </c>
      <c r="C1405" s="52" t="s">
        <v>1787</v>
      </c>
      <c r="D1405" s="52" t="s">
        <v>668</v>
      </c>
      <c r="E1405" s="52" t="s">
        <v>1631</v>
      </c>
      <c r="F1405" s="52" t="s">
        <v>1313</v>
      </c>
      <c r="G1405" s="52" t="s">
        <v>213</v>
      </c>
      <c r="H1405" s="52">
        <v>1</v>
      </c>
    </row>
    <row r="1406" spans="1:8" ht="14.4" x14ac:dyDescent="0.3">
      <c r="A1406" s="50">
        <v>6004</v>
      </c>
      <c r="B1406" s="51">
        <v>20009001111</v>
      </c>
      <c r="C1406" s="52" t="s">
        <v>1779</v>
      </c>
      <c r="D1406" s="52" t="s">
        <v>672</v>
      </c>
      <c r="E1406" s="52" t="s">
        <v>1970</v>
      </c>
      <c r="F1406" s="52" t="s">
        <v>1313</v>
      </c>
      <c r="G1406" s="52" t="s">
        <v>213</v>
      </c>
      <c r="H1406" s="52">
        <v>1</v>
      </c>
    </row>
    <row r="1407" spans="1:8" ht="14.4" x14ac:dyDescent="0.3">
      <c r="A1407" s="50">
        <v>6005</v>
      </c>
      <c r="B1407" s="51">
        <v>20001103078</v>
      </c>
      <c r="C1407" s="52" t="s">
        <v>1776</v>
      </c>
      <c r="D1407" s="52" t="s">
        <v>766</v>
      </c>
      <c r="E1407" s="52" t="s">
        <v>1031</v>
      </c>
      <c r="F1407" s="52" t="s">
        <v>1313</v>
      </c>
      <c r="G1407" s="52" t="s">
        <v>213</v>
      </c>
      <c r="H1407" s="52">
        <v>1</v>
      </c>
    </row>
    <row r="1408" spans="1:8" ht="14.4" x14ac:dyDescent="0.3">
      <c r="A1408" s="50">
        <v>6006</v>
      </c>
      <c r="B1408" s="51">
        <v>20009001110</v>
      </c>
      <c r="C1408" s="52" t="s">
        <v>2115</v>
      </c>
      <c r="D1408" s="52" t="s">
        <v>844</v>
      </c>
      <c r="E1408" s="52" t="s">
        <v>1970</v>
      </c>
      <c r="F1408" s="52" t="s">
        <v>1313</v>
      </c>
      <c r="G1408" s="52" t="s">
        <v>213</v>
      </c>
      <c r="H1408" s="52">
        <v>1</v>
      </c>
    </row>
    <row r="1409" spans="1:8" ht="14.4" x14ac:dyDescent="0.3">
      <c r="A1409" s="50">
        <v>6007</v>
      </c>
      <c r="B1409" s="51">
        <v>20009001110</v>
      </c>
      <c r="C1409" s="52" t="s">
        <v>2116</v>
      </c>
      <c r="D1409" s="52" t="s">
        <v>2117</v>
      </c>
      <c r="E1409" s="52" t="s">
        <v>1970</v>
      </c>
      <c r="F1409" s="52" t="s">
        <v>1313</v>
      </c>
      <c r="G1409" s="52" t="s">
        <v>213</v>
      </c>
      <c r="H1409" s="52">
        <v>0.5</v>
      </c>
    </row>
    <row r="1410" spans="1:8" ht="14.4" x14ac:dyDescent="0.3">
      <c r="A1410" s="50">
        <v>6009</v>
      </c>
      <c r="B1410" s="51">
        <v>20001053079</v>
      </c>
      <c r="C1410" s="52" t="s">
        <v>1547</v>
      </c>
      <c r="D1410" s="52" t="s">
        <v>730</v>
      </c>
      <c r="E1410" s="52" t="s">
        <v>1326</v>
      </c>
      <c r="F1410" s="52" t="s">
        <v>1313</v>
      </c>
      <c r="G1410" s="52" t="s">
        <v>213</v>
      </c>
      <c r="H1410" s="52">
        <v>1</v>
      </c>
    </row>
    <row r="1411" spans="1:8" ht="14.4" x14ac:dyDescent="0.3">
      <c r="A1411" s="50">
        <v>6010</v>
      </c>
      <c r="B1411" s="51">
        <v>20009001110</v>
      </c>
      <c r="C1411" s="52" t="s">
        <v>1072</v>
      </c>
      <c r="D1411" s="52" t="s">
        <v>785</v>
      </c>
      <c r="E1411" s="52" t="s">
        <v>1970</v>
      </c>
      <c r="F1411" s="52" t="s">
        <v>1313</v>
      </c>
      <c r="G1411" s="52" t="s">
        <v>213</v>
      </c>
      <c r="H1411" s="52">
        <v>1</v>
      </c>
    </row>
    <row r="1412" spans="1:8" ht="14.4" x14ac:dyDescent="0.3">
      <c r="A1412" s="50">
        <v>6013</v>
      </c>
      <c r="B1412" s="51">
        <v>20001053075</v>
      </c>
      <c r="C1412" s="52" t="s">
        <v>1552</v>
      </c>
      <c r="D1412" s="52" t="s">
        <v>844</v>
      </c>
      <c r="E1412" s="52" t="s">
        <v>1326</v>
      </c>
      <c r="F1412" s="52" t="s">
        <v>1313</v>
      </c>
      <c r="G1412" s="52" t="s">
        <v>244</v>
      </c>
      <c r="H1412" s="52">
        <v>1</v>
      </c>
    </row>
    <row r="1413" spans="1:8" ht="14.4" x14ac:dyDescent="0.3">
      <c r="A1413" s="50">
        <v>6014</v>
      </c>
      <c r="B1413" s="51">
        <v>20001053075</v>
      </c>
      <c r="C1413" s="52" t="s">
        <v>1552</v>
      </c>
      <c r="D1413" s="52" t="s">
        <v>868</v>
      </c>
      <c r="E1413" s="52" t="s">
        <v>1326</v>
      </c>
      <c r="F1413" s="52" t="s">
        <v>1313</v>
      </c>
      <c r="G1413" s="52" t="s">
        <v>213</v>
      </c>
      <c r="H1413" s="52">
        <v>1</v>
      </c>
    </row>
    <row r="1414" spans="1:8" ht="14.4" x14ac:dyDescent="0.3">
      <c r="A1414" s="50">
        <v>6015</v>
      </c>
      <c r="B1414" s="51">
        <v>20001053075</v>
      </c>
      <c r="C1414" s="52" t="s">
        <v>1554</v>
      </c>
      <c r="D1414" s="52" t="s">
        <v>1282</v>
      </c>
      <c r="E1414" s="52" t="s">
        <v>1458</v>
      </c>
      <c r="F1414" s="52" t="s">
        <v>1313</v>
      </c>
      <c r="G1414" s="52" t="s">
        <v>213</v>
      </c>
      <c r="H1414" s="52">
        <v>1</v>
      </c>
    </row>
    <row r="1415" spans="1:8" ht="14.4" x14ac:dyDescent="0.3">
      <c r="A1415" s="50">
        <v>6016</v>
      </c>
      <c r="B1415" s="51">
        <v>20001053075</v>
      </c>
      <c r="C1415" s="52" t="s">
        <v>615</v>
      </c>
      <c r="D1415" s="52" t="s">
        <v>1078</v>
      </c>
      <c r="E1415" s="52" t="s">
        <v>1326</v>
      </c>
      <c r="F1415" s="52" t="s">
        <v>1313</v>
      </c>
      <c r="G1415" s="52" t="s">
        <v>213</v>
      </c>
      <c r="H1415" s="52">
        <v>1</v>
      </c>
    </row>
    <row r="1416" spans="1:8" ht="14.4" x14ac:dyDescent="0.3">
      <c r="A1416" s="50">
        <v>6017</v>
      </c>
      <c r="B1416" s="51">
        <v>20009001110</v>
      </c>
      <c r="C1416" s="52" t="s">
        <v>2126</v>
      </c>
      <c r="D1416" s="52" t="s">
        <v>865</v>
      </c>
      <c r="E1416" s="52" t="s">
        <v>1970</v>
      </c>
      <c r="F1416" s="52" t="s">
        <v>1313</v>
      </c>
      <c r="G1416" s="52" t="s">
        <v>213</v>
      </c>
      <c r="H1416" s="52">
        <v>1</v>
      </c>
    </row>
    <row r="1417" spans="1:8" ht="14.4" x14ac:dyDescent="0.3">
      <c r="A1417" s="50">
        <v>6018</v>
      </c>
      <c r="B1417" s="51">
        <v>20001053075</v>
      </c>
      <c r="C1417" s="52" t="s">
        <v>956</v>
      </c>
      <c r="D1417" s="52" t="s">
        <v>1553</v>
      </c>
      <c r="E1417" s="52" t="s">
        <v>1326</v>
      </c>
      <c r="F1417" s="52" t="s">
        <v>1313</v>
      </c>
      <c r="G1417" s="52" t="s">
        <v>213</v>
      </c>
      <c r="H1417" s="52">
        <v>1</v>
      </c>
    </row>
    <row r="1418" spans="1:8" ht="14.4" x14ac:dyDescent="0.3">
      <c r="A1418" s="50">
        <v>6019</v>
      </c>
      <c r="B1418" s="51">
        <v>20020053076</v>
      </c>
      <c r="C1418" s="52" t="s">
        <v>1554</v>
      </c>
      <c r="D1418" s="52" t="s">
        <v>1668</v>
      </c>
      <c r="E1418" s="52" t="s">
        <v>3478</v>
      </c>
      <c r="F1418" s="52" t="s">
        <v>1313</v>
      </c>
      <c r="G1418" s="52" t="s">
        <v>244</v>
      </c>
      <c r="H1418" s="52">
        <v>1</v>
      </c>
    </row>
    <row r="1419" spans="1:8" ht="14.4" x14ac:dyDescent="0.3">
      <c r="A1419" s="50">
        <v>6021</v>
      </c>
      <c r="B1419" s="51">
        <v>20001103078</v>
      </c>
      <c r="C1419" s="52" t="s">
        <v>1785</v>
      </c>
      <c r="D1419" s="52" t="s">
        <v>676</v>
      </c>
      <c r="E1419" s="52" t="s">
        <v>1767</v>
      </c>
      <c r="F1419" s="52" t="s">
        <v>1313</v>
      </c>
      <c r="G1419" s="52" t="s">
        <v>244</v>
      </c>
      <c r="H1419" s="52">
        <v>1</v>
      </c>
    </row>
    <row r="1420" spans="1:8" ht="14.4" x14ac:dyDescent="0.3">
      <c r="A1420" s="50">
        <v>6022</v>
      </c>
      <c r="B1420" s="51">
        <v>20001103078</v>
      </c>
      <c r="C1420" s="52" t="s">
        <v>1786</v>
      </c>
      <c r="D1420" s="52" t="s">
        <v>697</v>
      </c>
      <c r="E1420" s="52" t="s">
        <v>1031</v>
      </c>
      <c r="F1420" s="52" t="s">
        <v>1313</v>
      </c>
      <c r="G1420" s="52" t="s">
        <v>213</v>
      </c>
      <c r="H1420" s="52">
        <v>1</v>
      </c>
    </row>
    <row r="1421" spans="1:8" ht="14.4" x14ac:dyDescent="0.3">
      <c r="A1421" s="50">
        <v>6023</v>
      </c>
      <c r="B1421" s="51">
        <v>20009001110</v>
      </c>
      <c r="C1421" s="52" t="s">
        <v>1375</v>
      </c>
      <c r="D1421" s="52" t="s">
        <v>844</v>
      </c>
      <c r="E1421" s="52" t="s">
        <v>1970</v>
      </c>
      <c r="F1421" s="52" t="s">
        <v>1313</v>
      </c>
      <c r="G1421" s="52" t="s">
        <v>213</v>
      </c>
      <c r="H1421" s="52">
        <v>1</v>
      </c>
    </row>
    <row r="1422" spans="1:8" ht="14.4" x14ac:dyDescent="0.3">
      <c r="A1422" s="50">
        <v>6024</v>
      </c>
      <c r="B1422" s="51">
        <v>20001053075</v>
      </c>
      <c r="C1422" s="52" t="s">
        <v>1560</v>
      </c>
      <c r="D1422" s="52" t="s">
        <v>850</v>
      </c>
      <c r="E1422" s="52" t="s">
        <v>1326</v>
      </c>
      <c r="F1422" s="52" t="s">
        <v>1313</v>
      </c>
      <c r="G1422" s="52" t="s">
        <v>213</v>
      </c>
      <c r="H1422" s="52">
        <v>1</v>
      </c>
    </row>
    <row r="1423" spans="1:8" ht="14.4" x14ac:dyDescent="0.3">
      <c r="A1423" s="50">
        <v>6027</v>
      </c>
      <c r="B1423" s="51">
        <v>20001053079</v>
      </c>
      <c r="C1423" s="52" t="s">
        <v>1322</v>
      </c>
      <c r="D1423" s="52" t="s">
        <v>1557</v>
      </c>
      <c r="E1423" s="52" t="s">
        <v>1326</v>
      </c>
      <c r="F1423" s="52" t="s">
        <v>1558</v>
      </c>
      <c r="G1423" s="52" t="s">
        <v>244</v>
      </c>
      <c r="H1423" s="52">
        <v>1</v>
      </c>
    </row>
    <row r="1424" spans="1:8" ht="14.4" x14ac:dyDescent="0.3">
      <c r="A1424" s="50">
        <v>6028</v>
      </c>
      <c r="B1424" s="51">
        <v>20001104088</v>
      </c>
      <c r="C1424" s="52" t="s">
        <v>1790</v>
      </c>
      <c r="D1424" s="52" t="s">
        <v>1791</v>
      </c>
      <c r="E1424" s="52" t="s">
        <v>1792</v>
      </c>
      <c r="F1424" s="52" t="s">
        <v>620</v>
      </c>
      <c r="G1424" s="52" t="s">
        <v>244</v>
      </c>
      <c r="H1424" s="52">
        <v>1</v>
      </c>
    </row>
    <row r="1425" spans="1:8" ht="14.4" x14ac:dyDescent="0.3">
      <c r="A1425" s="50">
        <v>6029</v>
      </c>
      <c r="B1425" s="51">
        <v>20000570123</v>
      </c>
      <c r="C1425" s="52" t="s">
        <v>1087</v>
      </c>
      <c r="D1425" s="52" t="s">
        <v>1088</v>
      </c>
      <c r="E1425" s="52" t="s">
        <v>1031</v>
      </c>
      <c r="F1425" s="52" t="s">
        <v>620</v>
      </c>
      <c r="G1425" s="52" t="s">
        <v>213</v>
      </c>
      <c r="H1425" s="52">
        <v>1</v>
      </c>
    </row>
    <row r="1426" spans="1:8" ht="14.4" x14ac:dyDescent="0.3">
      <c r="A1426" s="50">
        <v>6030</v>
      </c>
      <c r="B1426" s="51">
        <v>20019110095</v>
      </c>
      <c r="C1426" s="52" t="s">
        <v>2177</v>
      </c>
      <c r="D1426" s="52" t="s">
        <v>2178</v>
      </c>
      <c r="E1426" s="52" t="s">
        <v>2179</v>
      </c>
      <c r="F1426" s="52" t="s">
        <v>620</v>
      </c>
      <c r="G1426" s="52" t="s">
        <v>244</v>
      </c>
      <c r="H1426" s="52">
        <v>1</v>
      </c>
    </row>
    <row r="1427" spans="1:8" ht="14.4" x14ac:dyDescent="0.3">
      <c r="A1427" s="50">
        <v>6031</v>
      </c>
      <c r="B1427" s="51">
        <v>20001104088</v>
      </c>
      <c r="C1427" s="52" t="s">
        <v>1795</v>
      </c>
      <c r="D1427" s="52" t="s">
        <v>1796</v>
      </c>
      <c r="E1427" s="52" t="s">
        <v>1377</v>
      </c>
      <c r="F1427" s="52" t="s">
        <v>620</v>
      </c>
      <c r="G1427" s="52" t="s">
        <v>244</v>
      </c>
      <c r="H1427" s="52">
        <v>1</v>
      </c>
    </row>
    <row r="1428" spans="1:8" ht="14.4" x14ac:dyDescent="0.3">
      <c r="A1428" s="50">
        <v>6032</v>
      </c>
      <c r="B1428" s="51">
        <v>20009001112</v>
      </c>
      <c r="C1428" s="52" t="s">
        <v>2143</v>
      </c>
      <c r="D1428" s="52" t="s">
        <v>2144</v>
      </c>
      <c r="E1428" s="52" t="s">
        <v>1970</v>
      </c>
      <c r="F1428" s="52" t="s">
        <v>620</v>
      </c>
      <c r="G1428" s="52" t="s">
        <v>213</v>
      </c>
      <c r="H1428" s="52">
        <v>1</v>
      </c>
    </row>
    <row r="1429" spans="1:8" ht="14.4" x14ac:dyDescent="0.3">
      <c r="A1429" s="50">
        <v>6033</v>
      </c>
      <c r="B1429" s="51">
        <v>20009001112</v>
      </c>
      <c r="C1429" s="52" t="s">
        <v>2146</v>
      </c>
      <c r="D1429" s="52" t="s">
        <v>2147</v>
      </c>
      <c r="E1429" s="52" t="s">
        <v>1970</v>
      </c>
      <c r="F1429" s="52" t="s">
        <v>620</v>
      </c>
      <c r="G1429" s="52" t="s">
        <v>213</v>
      </c>
      <c r="H1429" s="52">
        <v>1</v>
      </c>
    </row>
    <row r="1430" spans="1:8" ht="14.4" x14ac:dyDescent="0.3">
      <c r="A1430" s="50">
        <v>6034</v>
      </c>
      <c r="B1430" s="51">
        <v>20001054085</v>
      </c>
      <c r="C1430" s="52" t="s">
        <v>917</v>
      </c>
      <c r="D1430" s="52" t="s">
        <v>1575</v>
      </c>
      <c r="E1430" s="52" t="s">
        <v>3155</v>
      </c>
      <c r="F1430" s="52" t="s">
        <v>620</v>
      </c>
      <c r="G1430" s="52" t="s">
        <v>213</v>
      </c>
      <c r="H1430" s="52">
        <v>1</v>
      </c>
    </row>
    <row r="1431" spans="1:8" ht="14.4" x14ac:dyDescent="0.3">
      <c r="A1431" s="50">
        <v>6035</v>
      </c>
      <c r="B1431" s="51">
        <v>20000110106</v>
      </c>
      <c r="C1431" s="52" t="s">
        <v>649</v>
      </c>
      <c r="D1431" s="52" t="s">
        <v>650</v>
      </c>
      <c r="E1431" s="52" t="s">
        <v>633</v>
      </c>
      <c r="F1431" s="52" t="s">
        <v>620</v>
      </c>
      <c r="G1431" s="52" t="s">
        <v>244</v>
      </c>
      <c r="H1431" s="52">
        <v>0.8</v>
      </c>
    </row>
    <row r="1432" spans="1:8" ht="14.4" x14ac:dyDescent="0.3">
      <c r="A1432" s="50">
        <v>6036</v>
      </c>
      <c r="B1432" s="51">
        <v>20009001112</v>
      </c>
      <c r="C1432" s="52" t="s">
        <v>2148</v>
      </c>
      <c r="D1432" s="52" t="s">
        <v>2110</v>
      </c>
      <c r="E1432" s="52" t="s">
        <v>1970</v>
      </c>
      <c r="F1432" s="52" t="s">
        <v>620</v>
      </c>
      <c r="G1432" s="52" t="s">
        <v>213</v>
      </c>
      <c r="H1432" s="52">
        <v>1</v>
      </c>
    </row>
    <row r="1433" spans="1:8" ht="14.4" x14ac:dyDescent="0.3">
      <c r="A1433" s="50">
        <v>6037</v>
      </c>
      <c r="B1433" s="51">
        <v>20009001112</v>
      </c>
      <c r="C1433" s="52" t="s">
        <v>2149</v>
      </c>
      <c r="D1433" s="52" t="s">
        <v>1573</v>
      </c>
      <c r="E1433" s="52" t="s">
        <v>1970</v>
      </c>
      <c r="F1433" s="52" t="s">
        <v>620</v>
      </c>
      <c r="G1433" s="52" t="s">
        <v>213</v>
      </c>
      <c r="H1433" s="52">
        <v>1</v>
      </c>
    </row>
    <row r="1434" spans="1:8" ht="14.4" x14ac:dyDescent="0.3">
      <c r="A1434" s="50">
        <v>6039</v>
      </c>
      <c r="B1434" s="51">
        <v>20000570123</v>
      </c>
      <c r="C1434" s="52" t="s">
        <v>1091</v>
      </c>
      <c r="D1434" s="52" t="s">
        <v>1092</v>
      </c>
      <c r="E1434" s="52" t="s">
        <v>1034</v>
      </c>
      <c r="F1434" s="52" t="s">
        <v>620</v>
      </c>
      <c r="G1434" s="52" t="s">
        <v>213</v>
      </c>
      <c r="H1434" s="52">
        <v>1</v>
      </c>
    </row>
    <row r="1435" spans="1:8" ht="14.4" x14ac:dyDescent="0.3">
      <c r="A1435" s="50">
        <v>6040</v>
      </c>
      <c r="B1435" s="51">
        <v>20001104088</v>
      </c>
      <c r="C1435" s="52" t="s">
        <v>1800</v>
      </c>
      <c r="D1435" s="52" t="s">
        <v>1108</v>
      </c>
      <c r="E1435" s="52" t="s">
        <v>1639</v>
      </c>
      <c r="F1435" s="52" t="s">
        <v>620</v>
      </c>
      <c r="G1435" s="52" t="s">
        <v>244</v>
      </c>
      <c r="H1435" s="52">
        <v>0.8</v>
      </c>
    </row>
    <row r="1436" spans="1:8" ht="14.4" x14ac:dyDescent="0.3">
      <c r="A1436" s="50">
        <v>6041</v>
      </c>
      <c r="B1436" s="51">
        <v>20009001112</v>
      </c>
      <c r="C1436" s="52" t="s">
        <v>1129</v>
      </c>
      <c r="D1436" s="52" t="s">
        <v>1647</v>
      </c>
      <c r="E1436" s="52" t="s">
        <v>1970</v>
      </c>
      <c r="F1436" s="52" t="s">
        <v>620</v>
      </c>
      <c r="G1436" s="52" t="s">
        <v>244</v>
      </c>
      <c r="H1436" s="52">
        <v>1</v>
      </c>
    </row>
    <row r="1437" spans="1:8" ht="14.4" x14ac:dyDescent="0.3">
      <c r="A1437" s="50">
        <v>6044</v>
      </c>
      <c r="B1437" s="51">
        <v>20000570123</v>
      </c>
      <c r="C1437" s="52" t="s">
        <v>1093</v>
      </c>
      <c r="D1437" s="52" t="s">
        <v>1094</v>
      </c>
      <c r="E1437" s="52" t="s">
        <v>1031</v>
      </c>
      <c r="F1437" s="52" t="s">
        <v>620</v>
      </c>
      <c r="G1437" s="52" t="s">
        <v>213</v>
      </c>
      <c r="H1437" s="52">
        <v>1</v>
      </c>
    </row>
    <row r="1438" spans="1:8" ht="14.4" x14ac:dyDescent="0.3">
      <c r="A1438" s="50">
        <v>6045</v>
      </c>
      <c r="B1438" s="51">
        <v>20009001112</v>
      </c>
      <c r="C1438" s="52" t="s">
        <v>2153</v>
      </c>
      <c r="D1438" s="52" t="s">
        <v>2154</v>
      </c>
      <c r="E1438" s="52" t="s">
        <v>3393</v>
      </c>
      <c r="F1438" s="52" t="s">
        <v>620</v>
      </c>
      <c r="G1438" s="52" t="s">
        <v>244</v>
      </c>
      <c r="H1438" s="52">
        <v>1</v>
      </c>
    </row>
    <row r="1439" spans="1:8" ht="14.4" x14ac:dyDescent="0.3">
      <c r="A1439" s="50">
        <v>6047</v>
      </c>
      <c r="B1439" s="51">
        <v>20001104088</v>
      </c>
      <c r="C1439" s="52" t="s">
        <v>1803</v>
      </c>
      <c r="D1439" s="52" t="s">
        <v>1804</v>
      </c>
      <c r="E1439" s="52" t="s">
        <v>1639</v>
      </c>
      <c r="F1439" s="52" t="s">
        <v>620</v>
      </c>
      <c r="G1439" s="52" t="s">
        <v>213</v>
      </c>
      <c r="H1439" s="52">
        <v>0.5</v>
      </c>
    </row>
    <row r="1440" spans="1:8" ht="14.4" x14ac:dyDescent="0.3">
      <c r="A1440" s="50">
        <v>6048</v>
      </c>
      <c r="B1440" s="51">
        <v>20001104088</v>
      </c>
      <c r="C1440" s="52" t="s">
        <v>1805</v>
      </c>
      <c r="D1440" s="52" t="s">
        <v>1806</v>
      </c>
      <c r="E1440" s="52" t="s">
        <v>1807</v>
      </c>
      <c r="F1440" s="52" t="s">
        <v>620</v>
      </c>
      <c r="G1440" s="52" t="s">
        <v>244</v>
      </c>
      <c r="H1440" s="52">
        <v>1</v>
      </c>
    </row>
    <row r="1441" spans="1:8" ht="14.4" x14ac:dyDescent="0.3">
      <c r="A1441" s="50">
        <v>6049</v>
      </c>
      <c r="B1441" s="51">
        <v>20020054086</v>
      </c>
      <c r="C1441" s="52" t="s">
        <v>2226</v>
      </c>
      <c r="D1441" s="52" t="s">
        <v>1810</v>
      </c>
      <c r="E1441" s="52" t="s">
        <v>2209</v>
      </c>
      <c r="F1441" s="52" t="s">
        <v>620</v>
      </c>
      <c r="G1441" s="52" t="s">
        <v>213</v>
      </c>
      <c r="H1441" s="52">
        <v>1</v>
      </c>
    </row>
    <row r="1442" spans="1:8" ht="14.4" x14ac:dyDescent="0.3">
      <c r="A1442" s="50">
        <v>6050</v>
      </c>
      <c r="B1442" s="51">
        <v>20020094087</v>
      </c>
      <c r="C1442" s="52" t="s">
        <v>2227</v>
      </c>
      <c r="D1442" s="52" t="s">
        <v>2228</v>
      </c>
      <c r="E1442" s="52" t="s">
        <v>2682</v>
      </c>
      <c r="F1442" s="52" t="s">
        <v>620</v>
      </c>
      <c r="G1442" s="52" t="s">
        <v>244</v>
      </c>
      <c r="H1442" s="52">
        <v>1</v>
      </c>
    </row>
    <row r="1443" spans="1:8" ht="14.4" x14ac:dyDescent="0.3">
      <c r="A1443" s="50">
        <v>6051</v>
      </c>
      <c r="B1443" s="51">
        <v>20020114093</v>
      </c>
      <c r="C1443" s="52" t="s">
        <v>651</v>
      </c>
      <c r="D1443" s="52" t="s">
        <v>901</v>
      </c>
      <c r="E1443" s="52" t="s">
        <v>2237</v>
      </c>
      <c r="F1443" s="52" t="s">
        <v>620</v>
      </c>
      <c r="G1443" s="52" t="s">
        <v>213</v>
      </c>
      <c r="H1443" s="52">
        <v>1</v>
      </c>
    </row>
    <row r="1444" spans="1:8" ht="14.4" x14ac:dyDescent="0.3">
      <c r="A1444" s="50">
        <v>6058</v>
      </c>
      <c r="B1444" s="51">
        <v>20009001112</v>
      </c>
      <c r="C1444" s="52" t="s">
        <v>2163</v>
      </c>
      <c r="D1444" s="52" t="s">
        <v>1944</v>
      </c>
      <c r="E1444" s="52" t="s">
        <v>1970</v>
      </c>
      <c r="F1444" s="52" t="s">
        <v>620</v>
      </c>
      <c r="G1444" s="52" t="s">
        <v>213</v>
      </c>
      <c r="H1444" s="52">
        <v>1</v>
      </c>
    </row>
    <row r="1445" spans="1:8" ht="14.4" x14ac:dyDescent="0.3">
      <c r="A1445" s="50">
        <v>6059</v>
      </c>
      <c r="B1445" s="51">
        <v>20000570123</v>
      </c>
      <c r="C1445" s="52" t="s">
        <v>2840</v>
      </c>
      <c r="D1445" s="52" t="s">
        <v>1101</v>
      </c>
      <c r="E1445" s="52" t="s">
        <v>1031</v>
      </c>
      <c r="F1445" s="52" t="s">
        <v>620</v>
      </c>
      <c r="G1445" s="52" t="s">
        <v>244</v>
      </c>
      <c r="H1445" s="52">
        <v>1</v>
      </c>
    </row>
    <row r="1446" spans="1:8" ht="14.4" x14ac:dyDescent="0.3">
      <c r="A1446" s="50">
        <v>6060</v>
      </c>
      <c r="B1446" s="51">
        <v>20020094087</v>
      </c>
      <c r="C1446" s="52" t="s">
        <v>2248</v>
      </c>
      <c r="D1446" s="52" t="s">
        <v>2249</v>
      </c>
      <c r="E1446" s="52" t="s">
        <v>2237</v>
      </c>
      <c r="F1446" s="52" t="s">
        <v>620</v>
      </c>
      <c r="G1446" s="52" t="s">
        <v>213</v>
      </c>
      <c r="H1446" s="52">
        <v>1</v>
      </c>
    </row>
    <row r="1447" spans="1:8" ht="14.4" x14ac:dyDescent="0.3">
      <c r="A1447" s="50">
        <v>6061</v>
      </c>
      <c r="B1447" s="51">
        <v>20001054085</v>
      </c>
      <c r="C1447" s="52" t="s">
        <v>1464</v>
      </c>
      <c r="D1447" s="52" t="s">
        <v>1563</v>
      </c>
      <c r="E1447" s="52" t="s">
        <v>1326</v>
      </c>
      <c r="F1447" s="52" t="s">
        <v>620</v>
      </c>
      <c r="G1447" s="52" t="s">
        <v>213</v>
      </c>
      <c r="H1447" s="52">
        <v>1</v>
      </c>
    </row>
    <row r="1448" spans="1:8" ht="14.4" x14ac:dyDescent="0.3">
      <c r="A1448" s="50">
        <v>6062</v>
      </c>
      <c r="B1448" s="51">
        <v>20001054085</v>
      </c>
      <c r="C1448" s="52" t="s">
        <v>1564</v>
      </c>
      <c r="D1448" s="52" t="s">
        <v>672</v>
      </c>
      <c r="E1448" s="52" t="s">
        <v>1326</v>
      </c>
      <c r="F1448" s="52" t="s">
        <v>620</v>
      </c>
      <c r="G1448" s="52" t="s">
        <v>213</v>
      </c>
      <c r="H1448" s="52">
        <v>1</v>
      </c>
    </row>
    <row r="1449" spans="1:8" ht="14.4" x14ac:dyDescent="0.3">
      <c r="A1449" s="50">
        <v>6063</v>
      </c>
      <c r="B1449" s="51">
        <v>20001054085</v>
      </c>
      <c r="C1449" s="52" t="s">
        <v>1569</v>
      </c>
      <c r="D1449" s="52" t="s">
        <v>1570</v>
      </c>
      <c r="E1449" s="52" t="s">
        <v>1326</v>
      </c>
      <c r="F1449" s="52" t="s">
        <v>620</v>
      </c>
      <c r="G1449" s="52" t="s">
        <v>244</v>
      </c>
      <c r="H1449" s="52">
        <v>1</v>
      </c>
    </row>
    <row r="1450" spans="1:8" ht="14.4" x14ac:dyDescent="0.3">
      <c r="A1450" s="50">
        <v>6065</v>
      </c>
      <c r="B1450" s="51">
        <v>20001054085</v>
      </c>
      <c r="C1450" s="52" t="s">
        <v>1576</v>
      </c>
      <c r="D1450" s="52" t="s">
        <v>974</v>
      </c>
      <c r="E1450" s="52" t="s">
        <v>1326</v>
      </c>
      <c r="F1450" s="52" t="s">
        <v>620</v>
      </c>
      <c r="G1450" s="52" t="s">
        <v>213</v>
      </c>
      <c r="H1450" s="52">
        <v>1</v>
      </c>
    </row>
    <row r="1451" spans="1:8" ht="14.4" x14ac:dyDescent="0.3">
      <c r="A1451" s="50">
        <v>6067</v>
      </c>
      <c r="B1451" s="51">
        <v>20001104094</v>
      </c>
      <c r="C1451" s="52" t="s">
        <v>1835</v>
      </c>
      <c r="D1451" s="52" t="s">
        <v>1172</v>
      </c>
      <c r="E1451" s="52" t="s">
        <v>3078</v>
      </c>
      <c r="F1451" s="52" t="s">
        <v>620</v>
      </c>
      <c r="G1451" s="52" t="s">
        <v>213</v>
      </c>
      <c r="H1451" s="52">
        <v>1</v>
      </c>
    </row>
    <row r="1452" spans="1:8" ht="12.75" customHeight="1" x14ac:dyDescent="0.3">
      <c r="A1452" s="36">
        <v>6068</v>
      </c>
      <c r="B1452" s="36">
        <v>20017050145</v>
      </c>
      <c r="C1452" s="36" t="s">
        <v>1585</v>
      </c>
      <c r="D1452" s="36" t="s">
        <v>650</v>
      </c>
      <c r="E1452" s="36" t="s">
        <v>2858</v>
      </c>
      <c r="F1452" s="36" t="s">
        <v>620</v>
      </c>
      <c r="G1452" s="36" t="s">
        <v>244</v>
      </c>
      <c r="H1452" s="36">
        <v>1</v>
      </c>
    </row>
    <row r="1453" spans="1:8" ht="12.75" customHeight="1" x14ac:dyDescent="0.3">
      <c r="A1453" s="36">
        <v>6069</v>
      </c>
      <c r="B1453" s="36">
        <v>20017050145</v>
      </c>
      <c r="C1453" s="36" t="s">
        <v>1590</v>
      </c>
      <c r="D1453" s="36" t="s">
        <v>1591</v>
      </c>
      <c r="E1453" s="36" t="s">
        <v>2858</v>
      </c>
      <c r="F1453" s="36" t="s">
        <v>620</v>
      </c>
      <c r="G1453" s="36" t="s">
        <v>213</v>
      </c>
      <c r="H1453" s="36">
        <v>1</v>
      </c>
    </row>
    <row r="1454" spans="1:8" ht="12.75" customHeight="1" x14ac:dyDescent="0.3">
      <c r="A1454" s="36">
        <v>6070</v>
      </c>
      <c r="B1454" s="36">
        <v>20001054085</v>
      </c>
      <c r="C1454" s="36" t="s">
        <v>1592</v>
      </c>
      <c r="D1454" s="36" t="s">
        <v>1593</v>
      </c>
      <c r="E1454" s="36" t="s">
        <v>1326</v>
      </c>
      <c r="F1454" s="36" t="s">
        <v>620</v>
      </c>
      <c r="G1454" s="36" t="s">
        <v>213</v>
      </c>
      <c r="H1454" s="36">
        <v>1</v>
      </c>
    </row>
    <row r="1455" spans="1:8" ht="12.75" customHeight="1" x14ac:dyDescent="0.3">
      <c r="A1455" s="36">
        <v>6071</v>
      </c>
      <c r="B1455" s="36">
        <v>20001054085</v>
      </c>
      <c r="C1455" s="36" t="s">
        <v>1603</v>
      </c>
      <c r="D1455" s="36" t="s">
        <v>1088</v>
      </c>
      <c r="E1455" s="36" t="s">
        <v>1326</v>
      </c>
      <c r="F1455" s="36" t="s">
        <v>620</v>
      </c>
      <c r="G1455" s="36" t="s">
        <v>213</v>
      </c>
      <c r="H1455" s="36">
        <v>1</v>
      </c>
    </row>
    <row r="1456" spans="1:8" ht="12.75" customHeight="1" x14ac:dyDescent="0.3">
      <c r="A1456" s="36">
        <v>6072</v>
      </c>
      <c r="B1456" s="36">
        <v>20001104094</v>
      </c>
      <c r="C1456" s="36" t="s">
        <v>1836</v>
      </c>
      <c r="D1456" s="36" t="s">
        <v>650</v>
      </c>
      <c r="E1456" s="36" t="s">
        <v>1837</v>
      </c>
      <c r="F1456" s="36" t="s">
        <v>620</v>
      </c>
      <c r="G1456" s="36" t="s">
        <v>213</v>
      </c>
      <c r="H1456" s="36">
        <v>1</v>
      </c>
    </row>
    <row r="1457" spans="1:8" ht="12.75" customHeight="1" x14ac:dyDescent="0.3">
      <c r="A1457" s="36">
        <v>6074</v>
      </c>
      <c r="B1457" s="36">
        <v>20019110095</v>
      </c>
      <c r="C1457" s="36" t="s">
        <v>2180</v>
      </c>
      <c r="D1457" s="36" t="s">
        <v>2110</v>
      </c>
      <c r="E1457" s="36" t="s">
        <v>2181</v>
      </c>
      <c r="F1457" s="36" t="s">
        <v>620</v>
      </c>
      <c r="G1457" s="36" t="s">
        <v>244</v>
      </c>
      <c r="H1457" s="36">
        <v>1</v>
      </c>
    </row>
    <row r="1458" spans="1:8" ht="12.75" customHeight="1" x14ac:dyDescent="0.3">
      <c r="A1458" s="36">
        <v>6077</v>
      </c>
      <c r="B1458" s="36">
        <v>20009001109</v>
      </c>
      <c r="C1458" s="36" t="s">
        <v>2093</v>
      </c>
      <c r="D1458" s="36" t="s">
        <v>1668</v>
      </c>
      <c r="E1458" s="36" t="s">
        <v>1970</v>
      </c>
      <c r="F1458" s="36" t="s">
        <v>1532</v>
      </c>
      <c r="G1458" s="36" t="s">
        <v>213</v>
      </c>
      <c r="H1458" s="36">
        <v>1</v>
      </c>
    </row>
    <row r="1459" spans="1:8" ht="12.75" customHeight="1" x14ac:dyDescent="0.3">
      <c r="A1459" s="36">
        <v>6078</v>
      </c>
      <c r="B1459" s="36">
        <v>20020092071</v>
      </c>
      <c r="C1459" s="36" t="s">
        <v>1173</v>
      </c>
      <c r="D1459" s="36" t="s">
        <v>1507</v>
      </c>
      <c r="E1459" s="36" t="s">
        <v>2237</v>
      </c>
      <c r="F1459" s="36" t="s">
        <v>1532</v>
      </c>
      <c r="G1459" s="36" t="s">
        <v>213</v>
      </c>
      <c r="H1459" s="36">
        <v>1</v>
      </c>
    </row>
    <row r="1460" spans="1:8" s="57" customFormat="1" ht="12.75" customHeight="1" x14ac:dyDescent="0.3">
      <c r="A1460" s="57">
        <v>6079</v>
      </c>
      <c r="B1460" s="57">
        <v>20009001109</v>
      </c>
      <c r="C1460" s="57" t="s">
        <v>2097</v>
      </c>
      <c r="D1460" s="57" t="s">
        <v>2098</v>
      </c>
      <c r="E1460" s="57" t="s">
        <v>1970</v>
      </c>
      <c r="F1460" s="57" t="s">
        <v>1532</v>
      </c>
      <c r="G1460" s="57" t="s">
        <v>244</v>
      </c>
      <c r="H1460" s="57">
        <v>1</v>
      </c>
    </row>
    <row r="1461" spans="1:8" ht="12.75" customHeight="1" x14ac:dyDescent="0.3">
      <c r="A1461" s="36">
        <v>6080</v>
      </c>
      <c r="B1461" s="36">
        <v>20001102072</v>
      </c>
      <c r="C1461" s="36" t="s">
        <v>1765</v>
      </c>
      <c r="D1461" s="36" t="s">
        <v>1766</v>
      </c>
      <c r="E1461" s="36" t="s">
        <v>1767</v>
      </c>
      <c r="F1461" s="36" t="s">
        <v>1532</v>
      </c>
      <c r="G1461" s="36" t="s">
        <v>244</v>
      </c>
      <c r="H1461" s="36">
        <v>1</v>
      </c>
    </row>
    <row r="1462" spans="1:8" ht="12.75" customHeight="1" x14ac:dyDescent="0.3">
      <c r="A1462" s="36">
        <v>6081</v>
      </c>
      <c r="B1462" s="36">
        <v>20001102072</v>
      </c>
      <c r="C1462" s="36" t="s">
        <v>1771</v>
      </c>
      <c r="D1462" s="36" t="s">
        <v>688</v>
      </c>
      <c r="E1462" s="36" t="s">
        <v>1772</v>
      </c>
      <c r="F1462" s="36" t="s">
        <v>1532</v>
      </c>
      <c r="G1462" s="36" t="s">
        <v>213</v>
      </c>
      <c r="H1462" s="36">
        <v>1</v>
      </c>
    </row>
    <row r="1463" spans="1:8" ht="12.75" customHeight="1" x14ac:dyDescent="0.3">
      <c r="A1463" s="36">
        <v>6082</v>
      </c>
      <c r="B1463" s="36">
        <v>20001052069</v>
      </c>
      <c r="C1463" s="36" t="s">
        <v>1537</v>
      </c>
      <c r="D1463" s="36" t="s">
        <v>1322</v>
      </c>
      <c r="E1463" s="36" t="s">
        <v>1326</v>
      </c>
      <c r="F1463" s="36" t="s">
        <v>1532</v>
      </c>
      <c r="G1463" s="36" t="s">
        <v>213</v>
      </c>
      <c r="H1463" s="36">
        <v>1</v>
      </c>
    </row>
    <row r="1464" spans="1:8" ht="12.75" customHeight="1" x14ac:dyDescent="0.3">
      <c r="A1464" s="36">
        <v>6083</v>
      </c>
      <c r="B1464" s="36">
        <v>20009001109</v>
      </c>
      <c r="C1464" s="36" t="s">
        <v>2099</v>
      </c>
      <c r="D1464" s="36" t="s">
        <v>672</v>
      </c>
      <c r="E1464" s="36" t="s">
        <v>2100</v>
      </c>
      <c r="F1464" s="36" t="s">
        <v>1532</v>
      </c>
      <c r="G1464" s="36" t="s">
        <v>244</v>
      </c>
      <c r="H1464" s="36">
        <v>1</v>
      </c>
    </row>
    <row r="1465" spans="1:8" ht="12.75" customHeight="1" x14ac:dyDescent="0.3">
      <c r="A1465" s="36">
        <v>6084</v>
      </c>
      <c r="B1465" s="36">
        <v>20009001109</v>
      </c>
      <c r="C1465" s="36" t="s">
        <v>2101</v>
      </c>
      <c r="D1465" s="36" t="s">
        <v>2102</v>
      </c>
      <c r="E1465" s="36" t="s">
        <v>3479</v>
      </c>
      <c r="F1465" s="36" t="s">
        <v>1532</v>
      </c>
      <c r="G1465" s="36" t="s">
        <v>244</v>
      </c>
      <c r="H1465" s="36">
        <v>1</v>
      </c>
    </row>
    <row r="1466" spans="1:8" ht="12.75" customHeight="1" x14ac:dyDescent="0.3">
      <c r="A1466" s="36">
        <v>6085</v>
      </c>
      <c r="B1466" s="36">
        <v>20001102072</v>
      </c>
      <c r="C1466" s="36" t="s">
        <v>1769</v>
      </c>
      <c r="D1466" s="36" t="s">
        <v>1770</v>
      </c>
      <c r="E1466" s="36" t="s">
        <v>3480</v>
      </c>
      <c r="F1466" s="36" t="s">
        <v>1532</v>
      </c>
      <c r="G1466" s="36" t="s">
        <v>244</v>
      </c>
      <c r="H1466" s="36">
        <v>1</v>
      </c>
    </row>
    <row r="1467" spans="1:8" ht="12.75" customHeight="1" x14ac:dyDescent="0.3">
      <c r="A1467" s="36">
        <v>6086</v>
      </c>
      <c r="B1467" s="36">
        <v>20001102072</v>
      </c>
      <c r="C1467" s="36" t="s">
        <v>1769</v>
      </c>
      <c r="D1467" s="36" t="s">
        <v>844</v>
      </c>
      <c r="E1467" s="36" t="s">
        <v>3223</v>
      </c>
      <c r="F1467" s="36" t="s">
        <v>1532</v>
      </c>
      <c r="G1467" s="36" t="s">
        <v>244</v>
      </c>
      <c r="H1467" s="36">
        <v>1</v>
      </c>
    </row>
    <row r="1468" spans="1:8" ht="12.75" customHeight="1" x14ac:dyDescent="0.3">
      <c r="A1468" s="36">
        <v>6087</v>
      </c>
      <c r="B1468" s="36">
        <v>20009001109</v>
      </c>
      <c r="C1468" s="36" t="s">
        <v>1805</v>
      </c>
      <c r="D1468" s="36" t="s">
        <v>741</v>
      </c>
      <c r="E1468" s="36" t="s">
        <v>1988</v>
      </c>
      <c r="F1468" s="36" t="s">
        <v>1532</v>
      </c>
      <c r="G1468" s="36" t="s">
        <v>244</v>
      </c>
      <c r="H1468" s="36">
        <v>1</v>
      </c>
    </row>
    <row r="1469" spans="1:8" ht="12.75" customHeight="1" x14ac:dyDescent="0.3">
      <c r="A1469" s="36">
        <v>6088</v>
      </c>
      <c r="B1469" s="36">
        <v>20009001109</v>
      </c>
      <c r="C1469" s="36" t="s">
        <v>2105</v>
      </c>
      <c r="D1469" s="36" t="s">
        <v>844</v>
      </c>
      <c r="E1469" s="36" t="s">
        <v>1970</v>
      </c>
      <c r="F1469" s="36" t="s">
        <v>1532</v>
      </c>
      <c r="G1469" s="36" t="s">
        <v>213</v>
      </c>
      <c r="H1469" s="36">
        <v>1</v>
      </c>
    </row>
    <row r="1470" spans="1:8" ht="12.75" customHeight="1" x14ac:dyDescent="0.3">
      <c r="A1470" s="36">
        <v>6089</v>
      </c>
      <c r="B1470" s="36">
        <v>20001052069</v>
      </c>
      <c r="C1470" s="36" t="s">
        <v>902</v>
      </c>
      <c r="D1470" s="36" t="s">
        <v>739</v>
      </c>
      <c r="E1470" s="36" t="s">
        <v>1326</v>
      </c>
      <c r="F1470" s="36" t="s">
        <v>1532</v>
      </c>
      <c r="G1470" s="36" t="s">
        <v>213</v>
      </c>
      <c r="H1470" s="36">
        <v>1</v>
      </c>
    </row>
    <row r="1471" spans="1:8" ht="12.75" customHeight="1" x14ac:dyDescent="0.3">
      <c r="A1471" s="36">
        <v>6090</v>
      </c>
      <c r="B1471" s="36">
        <v>20009001109</v>
      </c>
      <c r="C1471" s="36" t="s">
        <v>2109</v>
      </c>
      <c r="D1471" s="36" t="s">
        <v>2110</v>
      </c>
      <c r="E1471" s="36" t="s">
        <v>1967</v>
      </c>
      <c r="F1471" s="36" t="s">
        <v>1532</v>
      </c>
      <c r="G1471" s="36" t="s">
        <v>213</v>
      </c>
      <c r="H1471" s="36">
        <v>1</v>
      </c>
    </row>
    <row r="1472" spans="1:8" ht="12.75" customHeight="1" x14ac:dyDescent="0.3">
      <c r="A1472" s="36">
        <v>6091</v>
      </c>
      <c r="B1472" s="36">
        <v>20001102072</v>
      </c>
      <c r="C1472" s="36" t="s">
        <v>837</v>
      </c>
      <c r="D1472" s="36" t="s">
        <v>1773</v>
      </c>
      <c r="E1472" s="36" t="s">
        <v>1031</v>
      </c>
      <c r="F1472" s="36" t="s">
        <v>1532</v>
      </c>
      <c r="G1472" s="36" t="s">
        <v>213</v>
      </c>
      <c r="H1472" s="36">
        <v>1</v>
      </c>
    </row>
    <row r="1473" spans="1:8" ht="12.75" customHeight="1" x14ac:dyDescent="0.3">
      <c r="A1473" s="36">
        <v>6092</v>
      </c>
      <c r="B1473" s="36">
        <v>20001102072</v>
      </c>
      <c r="C1473" s="36" t="s">
        <v>837</v>
      </c>
      <c r="D1473" s="36" t="s">
        <v>668</v>
      </c>
      <c r="E1473" s="36" t="s">
        <v>3481</v>
      </c>
      <c r="F1473" s="36" t="s">
        <v>1532</v>
      </c>
      <c r="G1473" s="36" t="s">
        <v>244</v>
      </c>
      <c r="H1473" s="36">
        <v>1</v>
      </c>
    </row>
    <row r="1474" spans="1:8" ht="12.75" customHeight="1" x14ac:dyDescent="0.3">
      <c r="A1474" s="36">
        <v>6093</v>
      </c>
      <c r="B1474" s="36">
        <v>20001102072</v>
      </c>
      <c r="C1474" s="36" t="s">
        <v>837</v>
      </c>
      <c r="D1474" s="36" t="s">
        <v>741</v>
      </c>
      <c r="E1474" s="36" t="s">
        <v>3482</v>
      </c>
      <c r="F1474" s="36" t="s">
        <v>1532</v>
      </c>
      <c r="G1474" s="36" t="s">
        <v>244</v>
      </c>
      <c r="H1474" s="36">
        <v>1</v>
      </c>
    </row>
    <row r="1475" spans="1:8" ht="12.75" customHeight="1" x14ac:dyDescent="0.3">
      <c r="A1475" s="36">
        <v>6094</v>
      </c>
      <c r="B1475" s="36">
        <v>20009001109</v>
      </c>
      <c r="C1475" s="36" t="s">
        <v>2112</v>
      </c>
      <c r="D1475" s="36" t="s">
        <v>1806</v>
      </c>
      <c r="E1475" s="36" t="s">
        <v>1970</v>
      </c>
      <c r="F1475" s="36" t="s">
        <v>1532</v>
      </c>
      <c r="G1475" s="36" t="s">
        <v>145</v>
      </c>
      <c r="H1475" s="36">
        <v>1</v>
      </c>
    </row>
    <row r="1476" spans="1:8" ht="12.75" customHeight="1" x14ac:dyDescent="0.3">
      <c r="A1476" s="36">
        <v>6095</v>
      </c>
      <c r="B1476" s="36">
        <v>20017050142</v>
      </c>
      <c r="C1476" s="36" t="s">
        <v>1543</v>
      </c>
      <c r="D1476" s="36" t="s">
        <v>1544</v>
      </c>
      <c r="E1476" s="36" t="s">
        <v>1385</v>
      </c>
      <c r="F1476" s="36" t="s">
        <v>1532</v>
      </c>
      <c r="G1476" s="36" t="s">
        <v>213</v>
      </c>
      <c r="H1476" s="36">
        <v>1</v>
      </c>
    </row>
    <row r="1477" spans="1:8" ht="12.75" customHeight="1" x14ac:dyDescent="0.3">
      <c r="A1477" s="36">
        <v>6096</v>
      </c>
      <c r="B1477" s="36">
        <v>20001052069</v>
      </c>
      <c r="C1477" s="36" t="s">
        <v>1533</v>
      </c>
      <c r="D1477" s="36" t="s">
        <v>1534</v>
      </c>
      <c r="E1477" s="36" t="s">
        <v>1326</v>
      </c>
      <c r="F1477" s="36" t="s">
        <v>1532</v>
      </c>
      <c r="G1477" s="36" t="s">
        <v>244</v>
      </c>
      <c r="H1477" s="36">
        <v>1</v>
      </c>
    </row>
    <row r="1478" spans="1:8" ht="12.75" customHeight="1" x14ac:dyDescent="0.3">
      <c r="A1478" s="36">
        <v>6097</v>
      </c>
      <c r="B1478" s="36">
        <v>20001052069</v>
      </c>
      <c r="C1478" s="36" t="s">
        <v>1542</v>
      </c>
      <c r="D1478" s="36" t="s">
        <v>868</v>
      </c>
      <c r="E1478" s="36" t="s">
        <v>1326</v>
      </c>
      <c r="F1478" s="36" t="s">
        <v>1532</v>
      </c>
      <c r="G1478" s="36" t="s">
        <v>213</v>
      </c>
      <c r="H1478" s="36">
        <v>1</v>
      </c>
    </row>
    <row r="1479" spans="1:8" ht="12.75" customHeight="1" x14ac:dyDescent="0.3">
      <c r="A1479" s="36">
        <v>6098</v>
      </c>
      <c r="B1479" s="36">
        <v>20001052065</v>
      </c>
      <c r="C1479" s="36" t="s">
        <v>1494</v>
      </c>
      <c r="D1479" s="36" t="s">
        <v>1495</v>
      </c>
      <c r="E1479" s="36" t="s">
        <v>1326</v>
      </c>
      <c r="F1479" s="36" t="s">
        <v>628</v>
      </c>
      <c r="G1479" s="36" t="s">
        <v>213</v>
      </c>
      <c r="H1479" s="36">
        <v>1</v>
      </c>
    </row>
    <row r="1480" spans="1:8" ht="12.75" customHeight="1" x14ac:dyDescent="0.3">
      <c r="A1480" s="36">
        <v>6099</v>
      </c>
      <c r="B1480" s="36">
        <v>20001260017</v>
      </c>
      <c r="C1480" s="36" t="s">
        <v>1920</v>
      </c>
      <c r="D1480" s="36" t="s">
        <v>997</v>
      </c>
      <c r="E1480" s="36" t="s">
        <v>1921</v>
      </c>
      <c r="F1480" s="36" t="s">
        <v>618</v>
      </c>
      <c r="G1480" s="36" t="s">
        <v>244</v>
      </c>
      <c r="H1480" s="36">
        <v>1</v>
      </c>
    </row>
    <row r="1481" spans="1:8" ht="12.75" customHeight="1" x14ac:dyDescent="0.3">
      <c r="A1481" s="36">
        <v>6101</v>
      </c>
      <c r="B1481" s="36">
        <v>20001052065</v>
      </c>
      <c r="C1481" s="36" t="s">
        <v>1498</v>
      </c>
      <c r="D1481" s="36" t="s">
        <v>730</v>
      </c>
      <c r="E1481" s="36" t="s">
        <v>3376</v>
      </c>
      <c r="F1481" s="36" t="s">
        <v>628</v>
      </c>
      <c r="G1481" s="36" t="s">
        <v>244</v>
      </c>
      <c r="H1481" s="36">
        <v>1</v>
      </c>
    </row>
    <row r="1482" spans="1:8" ht="12.75" customHeight="1" x14ac:dyDescent="0.3">
      <c r="A1482" s="36">
        <v>6102</v>
      </c>
      <c r="B1482" s="36">
        <v>20001052065</v>
      </c>
      <c r="C1482" s="36" t="s">
        <v>906</v>
      </c>
      <c r="D1482" s="36" t="s">
        <v>1048</v>
      </c>
      <c r="E1482" s="36" t="s">
        <v>1326</v>
      </c>
      <c r="F1482" s="36" t="s">
        <v>628</v>
      </c>
      <c r="G1482" s="36" t="s">
        <v>213</v>
      </c>
      <c r="H1482" s="36">
        <v>1</v>
      </c>
    </row>
    <row r="1483" spans="1:8" ht="12.75" customHeight="1" x14ac:dyDescent="0.3">
      <c r="A1483" s="36">
        <v>6103</v>
      </c>
      <c r="B1483" s="36">
        <v>20001102064</v>
      </c>
      <c r="C1483" s="36" t="s">
        <v>1454</v>
      </c>
      <c r="D1483" s="36" t="s">
        <v>710</v>
      </c>
      <c r="E1483" s="36" t="s">
        <v>1031</v>
      </c>
      <c r="F1483" s="36" t="s">
        <v>1441</v>
      </c>
      <c r="G1483" s="36" t="s">
        <v>213</v>
      </c>
      <c r="H1483" s="36">
        <v>1</v>
      </c>
    </row>
    <row r="1484" spans="1:8" ht="12.75" customHeight="1" x14ac:dyDescent="0.3">
      <c r="A1484" s="36">
        <v>6104</v>
      </c>
      <c r="B1484" s="36">
        <v>20020092063</v>
      </c>
      <c r="C1484" s="36" t="s">
        <v>2236</v>
      </c>
      <c r="D1484" s="36" t="s">
        <v>1119</v>
      </c>
      <c r="E1484" s="36" t="s">
        <v>2237</v>
      </c>
      <c r="F1484" s="36" t="s">
        <v>1441</v>
      </c>
      <c r="G1484" s="36" t="s">
        <v>213</v>
      </c>
      <c r="H1484" s="36">
        <v>1</v>
      </c>
    </row>
    <row r="1485" spans="1:8" ht="12.75" customHeight="1" x14ac:dyDescent="0.3">
      <c r="A1485" s="36">
        <v>6107</v>
      </c>
      <c r="B1485" s="36">
        <v>20001102064</v>
      </c>
      <c r="C1485" s="36" t="s">
        <v>1707</v>
      </c>
      <c r="D1485" s="36" t="s">
        <v>1708</v>
      </c>
      <c r="E1485" s="36" t="s">
        <v>1709</v>
      </c>
      <c r="F1485" s="36" t="s">
        <v>1441</v>
      </c>
      <c r="G1485" s="36" t="s">
        <v>244</v>
      </c>
      <c r="H1485" s="36">
        <v>1</v>
      </c>
    </row>
    <row r="1486" spans="1:8" ht="12.75" customHeight="1" x14ac:dyDescent="0.3">
      <c r="A1486" s="36">
        <v>6109</v>
      </c>
      <c r="B1486" s="36">
        <v>20001102064</v>
      </c>
      <c r="C1486" s="36" t="s">
        <v>1417</v>
      </c>
      <c r="D1486" s="36" t="s">
        <v>746</v>
      </c>
      <c r="E1486" s="36" t="s">
        <v>3390</v>
      </c>
      <c r="F1486" s="36" t="s">
        <v>1441</v>
      </c>
      <c r="G1486" s="36" t="s">
        <v>244</v>
      </c>
      <c r="H1486" s="36">
        <v>1</v>
      </c>
    </row>
    <row r="1487" spans="1:8" ht="12.75" customHeight="1" x14ac:dyDescent="0.3">
      <c r="A1487" s="36">
        <v>6110</v>
      </c>
      <c r="B1487" s="36">
        <v>20009001107</v>
      </c>
      <c r="C1487" s="36" t="s">
        <v>2038</v>
      </c>
      <c r="D1487" s="36" t="s">
        <v>785</v>
      </c>
      <c r="E1487" s="36" t="s">
        <v>1970</v>
      </c>
      <c r="F1487" s="36" t="s">
        <v>1441</v>
      </c>
      <c r="G1487" s="36" t="s">
        <v>213</v>
      </c>
      <c r="H1487" s="36">
        <v>1</v>
      </c>
    </row>
    <row r="1488" spans="1:8" ht="12.75" customHeight="1" x14ac:dyDescent="0.3">
      <c r="A1488" s="36">
        <v>6112</v>
      </c>
      <c r="B1488" s="36">
        <v>20009001107</v>
      </c>
      <c r="C1488" s="36" t="s">
        <v>2041</v>
      </c>
      <c r="D1488" s="36" t="s">
        <v>2042</v>
      </c>
      <c r="E1488" s="36" t="s">
        <v>2674</v>
      </c>
      <c r="F1488" s="36" t="s">
        <v>1441</v>
      </c>
      <c r="G1488" s="36" t="s">
        <v>213</v>
      </c>
      <c r="H1488" s="36">
        <v>1</v>
      </c>
    </row>
    <row r="1489" spans="1:8" ht="12.75" customHeight="1" x14ac:dyDescent="0.3">
      <c r="A1489" s="36">
        <v>6113</v>
      </c>
      <c r="B1489" s="36">
        <v>20001052061</v>
      </c>
      <c r="C1489" s="36" t="s">
        <v>1444</v>
      </c>
      <c r="D1489" s="36" t="s">
        <v>668</v>
      </c>
      <c r="E1489" s="36" t="s">
        <v>1326</v>
      </c>
      <c r="F1489" s="36" t="s">
        <v>1441</v>
      </c>
      <c r="G1489" s="36" t="s">
        <v>244</v>
      </c>
      <c r="H1489" s="36">
        <v>1</v>
      </c>
    </row>
    <row r="1490" spans="1:8" ht="12.75" customHeight="1" x14ac:dyDescent="0.3">
      <c r="A1490" s="36">
        <v>6114</v>
      </c>
      <c r="B1490" s="36">
        <v>20001052061</v>
      </c>
      <c r="C1490" s="36" t="s">
        <v>1447</v>
      </c>
      <c r="D1490" s="36" t="s">
        <v>1448</v>
      </c>
      <c r="E1490" s="36" t="s">
        <v>1326</v>
      </c>
      <c r="F1490" s="36" t="s">
        <v>1441</v>
      </c>
      <c r="G1490" s="36" t="s">
        <v>244</v>
      </c>
      <c r="H1490" s="36">
        <v>1</v>
      </c>
    </row>
    <row r="1491" spans="1:8" ht="12.75" customHeight="1" x14ac:dyDescent="0.3">
      <c r="A1491" s="36">
        <v>6115</v>
      </c>
      <c r="B1491" s="36">
        <v>20001052061</v>
      </c>
      <c r="C1491" s="36" t="s">
        <v>1452</v>
      </c>
      <c r="D1491" s="36" t="s">
        <v>1170</v>
      </c>
      <c r="E1491" s="36" t="s">
        <v>3276</v>
      </c>
      <c r="F1491" s="36" t="s">
        <v>1441</v>
      </c>
      <c r="G1491" s="36" t="s">
        <v>244</v>
      </c>
      <c r="H1491" s="36">
        <v>1</v>
      </c>
    </row>
    <row r="1492" spans="1:8" ht="12.75" customHeight="1" x14ac:dyDescent="0.3">
      <c r="A1492" s="36">
        <v>6117</v>
      </c>
      <c r="B1492" s="36">
        <v>20001052061</v>
      </c>
      <c r="C1492" s="36" t="s">
        <v>996</v>
      </c>
      <c r="D1492" s="36" t="s">
        <v>1164</v>
      </c>
      <c r="E1492" s="36" t="s">
        <v>1326</v>
      </c>
      <c r="F1492" s="36" t="s">
        <v>1441</v>
      </c>
      <c r="G1492" s="36" t="s">
        <v>244</v>
      </c>
      <c r="H1492" s="36">
        <v>1</v>
      </c>
    </row>
    <row r="1493" spans="1:8" ht="12.75" customHeight="1" x14ac:dyDescent="0.3">
      <c r="A1493" s="36">
        <v>6120</v>
      </c>
      <c r="B1493" s="36">
        <v>20001102060</v>
      </c>
      <c r="C1493" s="36" t="s">
        <v>1698</v>
      </c>
      <c r="D1493" s="36" t="s">
        <v>1055</v>
      </c>
      <c r="E1493" s="36" t="s">
        <v>3483</v>
      </c>
      <c r="F1493" s="36" t="s">
        <v>1428</v>
      </c>
      <c r="G1493" s="36" t="s">
        <v>244</v>
      </c>
      <c r="H1493" s="36">
        <v>1</v>
      </c>
    </row>
    <row r="1494" spans="1:8" ht="12.75" customHeight="1" x14ac:dyDescent="0.3">
      <c r="A1494" s="36">
        <v>6121</v>
      </c>
      <c r="B1494" s="36">
        <v>20020052058</v>
      </c>
      <c r="C1494" s="36" t="s">
        <v>2028</v>
      </c>
      <c r="D1494" s="36" t="s">
        <v>2214</v>
      </c>
      <c r="E1494" s="36" t="s">
        <v>2861</v>
      </c>
      <c r="F1494" s="36" t="s">
        <v>1428</v>
      </c>
      <c r="G1494" s="36" t="s">
        <v>244</v>
      </c>
    </row>
    <row r="1495" spans="1:8" ht="12.75" customHeight="1" x14ac:dyDescent="0.3">
      <c r="A1495" s="36">
        <v>6122</v>
      </c>
      <c r="B1495" s="36">
        <v>20009001106</v>
      </c>
      <c r="C1495" s="36" t="s">
        <v>2028</v>
      </c>
      <c r="D1495" s="36" t="s">
        <v>679</v>
      </c>
      <c r="E1495" s="36" t="s">
        <v>1970</v>
      </c>
      <c r="F1495" s="36" t="s">
        <v>1428</v>
      </c>
      <c r="G1495" s="36" t="s">
        <v>244</v>
      </c>
      <c r="H1495" s="36">
        <v>1</v>
      </c>
    </row>
    <row r="1496" spans="1:8" ht="12.75" customHeight="1" x14ac:dyDescent="0.3">
      <c r="A1496" s="36">
        <v>6123</v>
      </c>
      <c r="B1496" s="36">
        <v>20009001106</v>
      </c>
      <c r="C1496" s="36" t="s">
        <v>2031</v>
      </c>
      <c r="D1496" s="36" t="s">
        <v>733</v>
      </c>
      <c r="E1496" s="36" t="s">
        <v>3383</v>
      </c>
      <c r="F1496" s="36" t="s">
        <v>1428</v>
      </c>
      <c r="G1496" s="36" t="s">
        <v>244</v>
      </c>
      <c r="H1496" s="36">
        <v>1</v>
      </c>
    </row>
    <row r="1497" spans="1:8" ht="12.75" customHeight="1" x14ac:dyDescent="0.3">
      <c r="A1497" s="36">
        <v>6125</v>
      </c>
      <c r="B1497" s="36">
        <v>20001102060</v>
      </c>
      <c r="C1497" s="36" t="s">
        <v>1699</v>
      </c>
      <c r="D1497" s="36" t="s">
        <v>1360</v>
      </c>
      <c r="E1497" s="36" t="s">
        <v>3484</v>
      </c>
      <c r="F1497" s="36" t="s">
        <v>1428</v>
      </c>
      <c r="G1497" s="36" t="s">
        <v>244</v>
      </c>
      <c r="H1497" s="36">
        <v>1</v>
      </c>
    </row>
    <row r="1498" spans="1:8" ht="12.75" customHeight="1" x14ac:dyDescent="0.3">
      <c r="A1498" s="36">
        <v>6126</v>
      </c>
      <c r="B1498" s="36">
        <v>20001100108</v>
      </c>
      <c r="C1498" s="36" t="s">
        <v>1515</v>
      </c>
      <c r="D1498" s="36" t="s">
        <v>1559</v>
      </c>
      <c r="E1498" s="36" t="s">
        <v>1628</v>
      </c>
      <c r="F1498" s="36" t="s">
        <v>1428</v>
      </c>
      <c r="G1498" s="36" t="s">
        <v>213</v>
      </c>
      <c r="H1498" s="36">
        <v>1</v>
      </c>
    </row>
    <row r="1499" spans="1:8" ht="12.75" customHeight="1" x14ac:dyDescent="0.3">
      <c r="A1499" s="36">
        <v>6127</v>
      </c>
      <c r="B1499" s="36">
        <v>20001052057</v>
      </c>
      <c r="C1499" s="36" t="s">
        <v>1164</v>
      </c>
      <c r="D1499" s="36" t="s">
        <v>852</v>
      </c>
      <c r="E1499" s="36" t="s">
        <v>1436</v>
      </c>
      <c r="F1499" s="36" t="s">
        <v>1428</v>
      </c>
      <c r="G1499" s="36" t="s">
        <v>213</v>
      </c>
      <c r="H1499" s="36">
        <v>1</v>
      </c>
    </row>
    <row r="1500" spans="1:8" ht="12.75" customHeight="1" x14ac:dyDescent="0.3">
      <c r="A1500" s="36">
        <v>6128</v>
      </c>
      <c r="B1500" s="36">
        <v>20001102060</v>
      </c>
      <c r="C1500" s="36" t="s">
        <v>1701</v>
      </c>
      <c r="D1500" s="36" t="s">
        <v>1142</v>
      </c>
      <c r="E1500" s="36" t="s">
        <v>1031</v>
      </c>
      <c r="F1500" s="36" t="s">
        <v>1428</v>
      </c>
      <c r="G1500" s="36" t="s">
        <v>244</v>
      </c>
      <c r="H1500" s="36">
        <v>1</v>
      </c>
    </row>
    <row r="1501" spans="1:8" ht="12.75" customHeight="1" x14ac:dyDescent="0.3">
      <c r="A1501" s="36">
        <v>6129</v>
      </c>
      <c r="B1501" s="36">
        <v>20001052057</v>
      </c>
      <c r="C1501" s="36" t="s">
        <v>1437</v>
      </c>
      <c r="D1501" s="36" t="s">
        <v>768</v>
      </c>
      <c r="E1501" s="36" t="s">
        <v>1326</v>
      </c>
      <c r="F1501" s="36" t="s">
        <v>1428</v>
      </c>
      <c r="G1501" s="36" t="s">
        <v>213</v>
      </c>
      <c r="H1501" s="36">
        <v>1</v>
      </c>
    </row>
    <row r="1502" spans="1:8" ht="12.75" customHeight="1" x14ac:dyDescent="0.3">
      <c r="A1502" s="36">
        <v>6133</v>
      </c>
      <c r="B1502" s="36">
        <v>20001052057</v>
      </c>
      <c r="C1502" s="36" t="s">
        <v>1432</v>
      </c>
      <c r="D1502" s="36" t="s">
        <v>1433</v>
      </c>
      <c r="E1502" s="36" t="s">
        <v>1326</v>
      </c>
      <c r="F1502" s="36" t="s">
        <v>1428</v>
      </c>
      <c r="G1502" s="36" t="s">
        <v>213</v>
      </c>
      <c r="H1502" s="36">
        <v>1</v>
      </c>
    </row>
    <row r="1503" spans="1:8" ht="12.75" customHeight="1" x14ac:dyDescent="0.3">
      <c r="A1503" s="36">
        <v>6134</v>
      </c>
      <c r="B1503" s="36">
        <v>20001052057</v>
      </c>
      <c r="C1503" s="36" t="s">
        <v>3524</v>
      </c>
      <c r="D1503" s="36" t="s">
        <v>704</v>
      </c>
      <c r="E1503" s="36" t="s">
        <v>1326</v>
      </c>
      <c r="F1503" s="36" t="s">
        <v>1428</v>
      </c>
      <c r="G1503" s="36" t="s">
        <v>213</v>
      </c>
      <c r="H1503" s="36">
        <v>1</v>
      </c>
    </row>
    <row r="1504" spans="1:8" ht="12.75" customHeight="1" x14ac:dyDescent="0.3">
      <c r="A1504" s="36">
        <v>6135</v>
      </c>
      <c r="B1504" s="36">
        <v>20009001105</v>
      </c>
      <c r="C1504" s="36" t="s">
        <v>2017</v>
      </c>
      <c r="D1504" s="36" t="s">
        <v>670</v>
      </c>
      <c r="E1504" s="36" t="s">
        <v>3666</v>
      </c>
      <c r="F1504" s="36" t="s">
        <v>1410</v>
      </c>
      <c r="G1504" s="36" t="s">
        <v>213</v>
      </c>
      <c r="H1504" s="36">
        <v>1</v>
      </c>
    </row>
    <row r="1505" spans="1:8" ht="12.75" customHeight="1" x14ac:dyDescent="0.3">
      <c r="A1505" s="36">
        <v>6136</v>
      </c>
      <c r="B1505" s="36">
        <v>20009001105</v>
      </c>
      <c r="C1505" s="36" t="s">
        <v>2019</v>
      </c>
      <c r="D1505" s="36" t="s">
        <v>2020</v>
      </c>
      <c r="E1505" s="36" t="s">
        <v>1970</v>
      </c>
      <c r="F1505" s="36" t="s">
        <v>1410</v>
      </c>
      <c r="G1505" s="36" t="s">
        <v>244</v>
      </c>
      <c r="H1505" s="36">
        <v>1</v>
      </c>
    </row>
    <row r="1506" spans="1:8" ht="12.75" customHeight="1" x14ac:dyDescent="0.3">
      <c r="A1506" s="36">
        <v>6137</v>
      </c>
      <c r="B1506" s="36">
        <v>20001051050</v>
      </c>
      <c r="C1506" s="36" t="s">
        <v>2213</v>
      </c>
      <c r="D1506" s="36" t="s">
        <v>695</v>
      </c>
      <c r="E1506" s="36" t="s">
        <v>2841</v>
      </c>
      <c r="F1506" s="36" t="s">
        <v>1410</v>
      </c>
      <c r="G1506" s="36" t="s">
        <v>213</v>
      </c>
      <c r="H1506" s="36">
        <v>1</v>
      </c>
    </row>
    <row r="1507" spans="1:8" ht="12.75" customHeight="1" x14ac:dyDescent="0.3">
      <c r="A1507" s="36">
        <v>6138</v>
      </c>
      <c r="B1507" s="36">
        <v>20009001105</v>
      </c>
      <c r="C1507" s="36" t="s">
        <v>2021</v>
      </c>
      <c r="D1507" s="36" t="s">
        <v>2022</v>
      </c>
      <c r="E1507" s="36" t="s">
        <v>3454</v>
      </c>
      <c r="F1507" s="36" t="s">
        <v>1410</v>
      </c>
      <c r="G1507" s="36" t="s">
        <v>244</v>
      </c>
      <c r="H1507" s="36">
        <v>1</v>
      </c>
    </row>
    <row r="1508" spans="1:8" ht="12.75" customHeight="1" x14ac:dyDescent="0.3">
      <c r="A1508" s="36">
        <v>6141</v>
      </c>
      <c r="B1508" s="36">
        <v>20001051050</v>
      </c>
      <c r="C1508" s="36" t="s">
        <v>3645</v>
      </c>
      <c r="D1508" s="36" t="s">
        <v>850</v>
      </c>
      <c r="E1508" s="36" t="s">
        <v>2861</v>
      </c>
      <c r="F1508" s="36" t="s">
        <v>1410</v>
      </c>
      <c r="G1508" s="36" t="s">
        <v>594</v>
      </c>
      <c r="H1508" s="36">
        <v>1</v>
      </c>
    </row>
    <row r="1509" spans="1:8" ht="12.75" customHeight="1" x14ac:dyDescent="0.3">
      <c r="A1509" s="36">
        <v>6142</v>
      </c>
      <c r="B1509" s="36">
        <v>20001051050</v>
      </c>
      <c r="C1509" s="36" t="s">
        <v>1411</v>
      </c>
      <c r="D1509" s="36" t="s">
        <v>1159</v>
      </c>
      <c r="E1509" s="36" t="s">
        <v>1326</v>
      </c>
      <c r="F1509" s="36" t="s">
        <v>1410</v>
      </c>
      <c r="G1509" s="36" t="s">
        <v>213</v>
      </c>
      <c r="H1509" s="36">
        <v>1</v>
      </c>
    </row>
    <row r="1510" spans="1:8" ht="12.75" customHeight="1" x14ac:dyDescent="0.3">
      <c r="A1510" s="36">
        <v>6146</v>
      </c>
      <c r="B1510" s="36">
        <v>20001101049</v>
      </c>
      <c r="C1510" s="36" t="s">
        <v>1654</v>
      </c>
      <c r="D1510" s="36" t="s">
        <v>1279</v>
      </c>
      <c r="E1510" s="36" t="s">
        <v>1377</v>
      </c>
      <c r="F1510" s="36" t="s">
        <v>775</v>
      </c>
      <c r="G1510" s="36" t="s">
        <v>213</v>
      </c>
      <c r="H1510" s="36">
        <v>1</v>
      </c>
    </row>
    <row r="1511" spans="1:8" ht="12.75" customHeight="1" x14ac:dyDescent="0.3">
      <c r="A1511" s="36">
        <v>6147</v>
      </c>
      <c r="B1511" s="36">
        <v>20001101049</v>
      </c>
      <c r="C1511" s="36" t="s">
        <v>1653</v>
      </c>
      <c r="D1511" s="36" t="s">
        <v>1360</v>
      </c>
      <c r="E1511" s="36" t="s">
        <v>3444</v>
      </c>
      <c r="F1511" s="36" t="s">
        <v>775</v>
      </c>
      <c r="G1511" s="36" t="s">
        <v>244</v>
      </c>
      <c r="H1511" s="36">
        <v>1</v>
      </c>
    </row>
    <row r="1512" spans="1:8" ht="12.75" customHeight="1" x14ac:dyDescent="0.3">
      <c r="A1512" s="36">
        <v>6148</v>
      </c>
      <c r="B1512" s="36">
        <v>20001101049</v>
      </c>
      <c r="C1512" s="36" t="s">
        <v>1658</v>
      </c>
      <c r="D1512" s="36" t="s">
        <v>1659</v>
      </c>
      <c r="E1512" s="36" t="s">
        <v>1631</v>
      </c>
      <c r="F1512" s="36" t="s">
        <v>775</v>
      </c>
      <c r="G1512" s="36" t="s">
        <v>213</v>
      </c>
      <c r="H1512" s="36">
        <v>1</v>
      </c>
    </row>
    <row r="1513" spans="1:8" ht="12.75" customHeight="1" x14ac:dyDescent="0.3">
      <c r="A1513" s="36">
        <v>6149</v>
      </c>
      <c r="B1513" s="36">
        <v>20009001104</v>
      </c>
      <c r="C1513" s="36" t="s">
        <v>2005</v>
      </c>
      <c r="D1513" s="36" t="s">
        <v>746</v>
      </c>
      <c r="E1513" s="36" t="s">
        <v>3453</v>
      </c>
      <c r="F1513" s="36" t="s">
        <v>775</v>
      </c>
      <c r="G1513" s="36" t="s">
        <v>244</v>
      </c>
      <c r="H1513" s="36">
        <v>1</v>
      </c>
    </row>
    <row r="1514" spans="1:8" ht="12.75" customHeight="1" x14ac:dyDescent="0.3">
      <c r="A1514" s="36">
        <v>6151</v>
      </c>
      <c r="B1514" s="36">
        <v>20009001104</v>
      </c>
      <c r="C1514" s="36" t="s">
        <v>2007</v>
      </c>
      <c r="D1514" s="36" t="s">
        <v>844</v>
      </c>
      <c r="E1514" s="36" t="s">
        <v>1970</v>
      </c>
      <c r="F1514" s="36" t="s">
        <v>775</v>
      </c>
      <c r="G1514" s="36" t="s">
        <v>244</v>
      </c>
      <c r="H1514" s="36">
        <v>1</v>
      </c>
    </row>
    <row r="1515" spans="1:8" ht="12.75" customHeight="1" x14ac:dyDescent="0.3">
      <c r="A1515" s="36">
        <v>6152</v>
      </c>
      <c r="B1515" s="36">
        <v>20000570121</v>
      </c>
      <c r="C1515" s="36" t="s">
        <v>1660</v>
      </c>
      <c r="D1515" s="36" t="s">
        <v>1661</v>
      </c>
      <c r="E1515" s="36" t="s">
        <v>1031</v>
      </c>
      <c r="F1515" s="36" t="s">
        <v>775</v>
      </c>
      <c r="G1515" s="36" t="s">
        <v>145</v>
      </c>
      <c r="H1515" s="36">
        <v>1</v>
      </c>
    </row>
    <row r="1516" spans="1:8" ht="12.75" customHeight="1" x14ac:dyDescent="0.3">
      <c r="A1516" s="36">
        <v>6154</v>
      </c>
      <c r="B1516" s="36">
        <v>20001101049</v>
      </c>
      <c r="C1516" s="36" t="s">
        <v>2786</v>
      </c>
      <c r="D1516" s="36" t="s">
        <v>684</v>
      </c>
      <c r="E1516" s="36" t="s">
        <v>1639</v>
      </c>
      <c r="F1516" s="36" t="s">
        <v>775</v>
      </c>
      <c r="G1516" s="36" t="s">
        <v>213</v>
      </c>
      <c r="H1516" s="36">
        <v>1</v>
      </c>
    </row>
    <row r="1517" spans="1:8" ht="12.75" customHeight="1" x14ac:dyDescent="0.3">
      <c r="A1517" s="36">
        <v>6155</v>
      </c>
      <c r="B1517" s="36">
        <v>20001101049</v>
      </c>
      <c r="C1517" s="36" t="s">
        <v>1662</v>
      </c>
      <c r="D1517" s="36" t="s">
        <v>686</v>
      </c>
      <c r="E1517" s="36" t="s">
        <v>2842</v>
      </c>
      <c r="F1517" s="36" t="s">
        <v>775</v>
      </c>
      <c r="G1517" s="36" t="s">
        <v>213</v>
      </c>
      <c r="H1517" s="36">
        <v>1</v>
      </c>
    </row>
    <row r="1518" spans="1:8" ht="12.75" customHeight="1" x14ac:dyDescent="0.3">
      <c r="A1518" s="36">
        <v>6156</v>
      </c>
      <c r="B1518" s="36">
        <v>20001051046</v>
      </c>
      <c r="C1518" s="36" t="s">
        <v>1394</v>
      </c>
      <c r="D1518" s="36" t="s">
        <v>1332</v>
      </c>
      <c r="E1518" s="36" t="s">
        <v>1326</v>
      </c>
      <c r="F1518" s="36" t="s">
        <v>775</v>
      </c>
      <c r="G1518" s="36" t="s">
        <v>213</v>
      </c>
      <c r="H1518" s="36">
        <v>1</v>
      </c>
    </row>
    <row r="1519" spans="1:8" ht="12.75" customHeight="1" x14ac:dyDescent="0.3">
      <c r="A1519" s="36">
        <v>6158</v>
      </c>
      <c r="B1519" s="36">
        <v>20001051046</v>
      </c>
      <c r="C1519" s="36" t="s">
        <v>1400</v>
      </c>
      <c r="D1519" s="36" t="s">
        <v>1401</v>
      </c>
      <c r="E1519" s="36" t="s">
        <v>1326</v>
      </c>
      <c r="F1519" s="36" t="s">
        <v>775</v>
      </c>
      <c r="G1519" s="36" t="s">
        <v>213</v>
      </c>
      <c r="H1519" s="36">
        <v>1</v>
      </c>
    </row>
    <row r="1520" spans="1:8" ht="12.75" customHeight="1" x14ac:dyDescent="0.3">
      <c r="A1520" s="36">
        <v>6159</v>
      </c>
      <c r="B1520" s="36">
        <v>20001101049</v>
      </c>
      <c r="C1520" s="36" t="s">
        <v>1666</v>
      </c>
      <c r="D1520" s="36" t="s">
        <v>1667</v>
      </c>
      <c r="E1520" s="36" t="s">
        <v>3444</v>
      </c>
      <c r="F1520" s="36" t="s">
        <v>775</v>
      </c>
      <c r="G1520" s="36" t="s">
        <v>244</v>
      </c>
      <c r="H1520" s="36">
        <v>1</v>
      </c>
    </row>
    <row r="1521" spans="1:8" ht="12.75" customHeight="1" x14ac:dyDescent="0.3">
      <c r="A1521" s="36">
        <v>6160</v>
      </c>
      <c r="B1521" s="36">
        <v>20000330012</v>
      </c>
      <c r="C1521" s="36" t="s">
        <v>821</v>
      </c>
      <c r="D1521" s="36" t="s">
        <v>844</v>
      </c>
      <c r="E1521" s="36" t="s">
        <v>3439</v>
      </c>
      <c r="F1521" s="36" t="s">
        <v>775</v>
      </c>
      <c r="G1521" s="36" t="s">
        <v>244</v>
      </c>
      <c r="H1521" s="36">
        <v>1</v>
      </c>
    </row>
    <row r="1522" spans="1:8" ht="12.75" customHeight="1" x14ac:dyDescent="0.3">
      <c r="A1522" s="36">
        <v>6161</v>
      </c>
      <c r="B1522" s="36">
        <v>20000310012</v>
      </c>
      <c r="C1522" s="36" t="s">
        <v>821</v>
      </c>
      <c r="D1522" s="36" t="s">
        <v>715</v>
      </c>
      <c r="E1522" s="36" t="s">
        <v>3439</v>
      </c>
      <c r="F1522" s="36" t="s">
        <v>775</v>
      </c>
      <c r="G1522" s="36" t="s">
        <v>244</v>
      </c>
      <c r="H1522" s="36">
        <v>1</v>
      </c>
    </row>
    <row r="1523" spans="1:8" ht="12.75" customHeight="1" x14ac:dyDescent="0.3">
      <c r="A1523" s="36">
        <v>6165</v>
      </c>
      <c r="B1523" s="36">
        <v>20001052057</v>
      </c>
      <c r="C1523" s="36" t="s">
        <v>1430</v>
      </c>
      <c r="D1523" s="36" t="s">
        <v>1431</v>
      </c>
      <c r="E1523" s="36" t="s">
        <v>3485</v>
      </c>
      <c r="F1523" s="36" t="s">
        <v>1428</v>
      </c>
      <c r="G1523" s="36" t="s">
        <v>244</v>
      </c>
      <c r="H1523" s="36">
        <v>1</v>
      </c>
    </row>
    <row r="1524" spans="1:8" ht="12.75" customHeight="1" x14ac:dyDescent="0.3">
      <c r="A1524" s="36">
        <v>6166</v>
      </c>
      <c r="B1524" s="36">
        <v>20001051046</v>
      </c>
      <c r="C1524" s="36" t="s">
        <v>1388</v>
      </c>
      <c r="D1524" s="36" t="s">
        <v>988</v>
      </c>
      <c r="E1524" s="36" t="s">
        <v>1326</v>
      </c>
      <c r="F1524" s="36" t="s">
        <v>775</v>
      </c>
      <c r="G1524" s="36" t="s">
        <v>244</v>
      </c>
      <c r="H1524" s="36">
        <v>1</v>
      </c>
    </row>
    <row r="1525" spans="1:8" ht="12.75" customHeight="1" x14ac:dyDescent="0.3">
      <c r="A1525" s="36">
        <v>6168</v>
      </c>
      <c r="B1525" s="36">
        <v>20001051046</v>
      </c>
      <c r="C1525" s="36" t="s">
        <v>1389</v>
      </c>
      <c r="D1525" s="36" t="s">
        <v>1390</v>
      </c>
      <c r="E1525" s="36" t="s">
        <v>1326</v>
      </c>
      <c r="F1525" s="36" t="s">
        <v>775</v>
      </c>
      <c r="G1525" s="36" t="s">
        <v>244</v>
      </c>
      <c r="H1525" s="36">
        <v>1</v>
      </c>
    </row>
    <row r="1526" spans="1:8" ht="12.75" customHeight="1" x14ac:dyDescent="0.3">
      <c r="A1526" s="36">
        <v>6171</v>
      </c>
      <c r="B1526" s="36">
        <v>20001051042</v>
      </c>
      <c r="C1526" s="36" t="s">
        <v>1380</v>
      </c>
      <c r="D1526" s="36" t="s">
        <v>1381</v>
      </c>
      <c r="E1526" s="36" t="s">
        <v>1326</v>
      </c>
      <c r="F1526" s="36" t="s">
        <v>1056</v>
      </c>
      <c r="G1526" s="36" t="s">
        <v>244</v>
      </c>
      <c r="H1526" s="36">
        <v>1</v>
      </c>
    </row>
    <row r="1527" spans="1:8" ht="12.75" customHeight="1" x14ac:dyDescent="0.3">
      <c r="A1527" s="36">
        <v>6176</v>
      </c>
      <c r="B1527" s="36">
        <v>20001101045</v>
      </c>
      <c r="C1527" s="36" t="s">
        <v>1643</v>
      </c>
      <c r="D1527" s="36" t="s">
        <v>1644</v>
      </c>
      <c r="E1527" s="36" t="s">
        <v>1639</v>
      </c>
      <c r="F1527" s="36" t="s">
        <v>1056</v>
      </c>
      <c r="G1527" s="36" t="s">
        <v>213</v>
      </c>
      <c r="H1527" s="36">
        <v>1</v>
      </c>
    </row>
    <row r="1528" spans="1:8" ht="12.75" customHeight="1" x14ac:dyDescent="0.3">
      <c r="A1528" s="36">
        <v>6177</v>
      </c>
      <c r="B1528" s="36">
        <v>20000570121</v>
      </c>
      <c r="C1528" s="36" t="s">
        <v>670</v>
      </c>
      <c r="D1528" s="36" t="s">
        <v>988</v>
      </c>
      <c r="E1528" s="36" t="s">
        <v>3138</v>
      </c>
      <c r="F1528" s="36" t="s">
        <v>1056</v>
      </c>
      <c r="G1528" s="36" t="s">
        <v>213</v>
      </c>
      <c r="H1528" s="36">
        <v>1</v>
      </c>
    </row>
    <row r="1529" spans="1:8" ht="12.75" customHeight="1" x14ac:dyDescent="0.3">
      <c r="A1529" s="36">
        <v>6179</v>
      </c>
      <c r="B1529" s="36">
        <v>20001051042</v>
      </c>
      <c r="C1529" s="36" t="s">
        <v>1364</v>
      </c>
      <c r="D1529" s="36" t="s">
        <v>1055</v>
      </c>
      <c r="E1529" s="36" t="s">
        <v>3486</v>
      </c>
      <c r="F1529" s="36" t="s">
        <v>1056</v>
      </c>
      <c r="G1529" s="36" t="s">
        <v>244</v>
      </c>
      <c r="H1529" s="36">
        <v>1</v>
      </c>
    </row>
    <row r="1530" spans="1:8" ht="12.75" customHeight="1" x14ac:dyDescent="0.3">
      <c r="A1530" s="36">
        <v>6182</v>
      </c>
      <c r="B1530" s="36">
        <v>20017050136</v>
      </c>
      <c r="C1530" s="36" t="s">
        <v>643</v>
      </c>
      <c r="D1530" s="36" t="s">
        <v>1382</v>
      </c>
      <c r="E1530" s="36" t="s">
        <v>1326</v>
      </c>
      <c r="F1530" s="36" t="s">
        <v>1056</v>
      </c>
      <c r="G1530" s="36" t="s">
        <v>244</v>
      </c>
      <c r="H1530" s="36">
        <v>1</v>
      </c>
    </row>
    <row r="1531" spans="1:8" ht="12.75" customHeight="1" x14ac:dyDescent="0.3">
      <c r="A1531" s="36">
        <v>6183</v>
      </c>
      <c r="B1531" s="36">
        <v>20001101041</v>
      </c>
      <c r="C1531" s="36" t="s">
        <v>888</v>
      </c>
      <c r="D1531" s="36" t="s">
        <v>741</v>
      </c>
      <c r="E1531" s="36" t="s">
        <v>1639</v>
      </c>
      <c r="F1531" s="36" t="s">
        <v>656</v>
      </c>
      <c r="G1531" s="36" t="s">
        <v>213</v>
      </c>
      <c r="H1531" s="36">
        <v>1</v>
      </c>
    </row>
    <row r="1532" spans="1:8" ht="12.75" customHeight="1" x14ac:dyDescent="0.3">
      <c r="A1532" s="36">
        <v>6189</v>
      </c>
      <c r="B1532" s="36">
        <v>20009001102</v>
      </c>
      <c r="C1532" s="36" t="s">
        <v>1981</v>
      </c>
      <c r="D1532" s="36" t="s">
        <v>1517</v>
      </c>
      <c r="E1532" s="36" t="s">
        <v>1970</v>
      </c>
      <c r="F1532" s="36" t="s">
        <v>656</v>
      </c>
      <c r="G1532" s="36" t="s">
        <v>213</v>
      </c>
      <c r="H1532" s="36">
        <v>1</v>
      </c>
    </row>
    <row r="1533" spans="1:8" ht="12.75" customHeight="1" x14ac:dyDescent="0.3">
      <c r="A1533" s="36">
        <v>6190</v>
      </c>
      <c r="B1533" s="36">
        <v>20022001101</v>
      </c>
      <c r="C1533" s="36" t="s">
        <v>1981</v>
      </c>
      <c r="D1533" s="36" t="s">
        <v>868</v>
      </c>
      <c r="E1533" s="36" t="s">
        <v>3447</v>
      </c>
      <c r="F1533" s="36" t="s">
        <v>656</v>
      </c>
      <c r="G1533" s="36" t="s">
        <v>244</v>
      </c>
      <c r="H1533" s="36">
        <v>1</v>
      </c>
    </row>
    <row r="1534" spans="1:8" ht="12.75" customHeight="1" x14ac:dyDescent="0.3">
      <c r="A1534" s="36">
        <v>6191</v>
      </c>
      <c r="B1534" s="36">
        <v>20001051038</v>
      </c>
      <c r="C1534" s="36" t="s">
        <v>1350</v>
      </c>
      <c r="D1534" s="36" t="s">
        <v>635</v>
      </c>
      <c r="E1534" s="36" t="s">
        <v>1326</v>
      </c>
      <c r="F1534" s="36" t="s">
        <v>656</v>
      </c>
      <c r="G1534" s="36" t="s">
        <v>213</v>
      </c>
      <c r="H1534" s="36">
        <v>1</v>
      </c>
    </row>
    <row r="1535" spans="1:8" ht="12.75" customHeight="1" x14ac:dyDescent="0.3">
      <c r="A1535" s="36">
        <v>6192</v>
      </c>
      <c r="B1535" s="36">
        <v>20020051039</v>
      </c>
      <c r="C1535" s="36" t="s">
        <v>1350</v>
      </c>
      <c r="D1535" s="36" t="s">
        <v>739</v>
      </c>
      <c r="E1535" s="36" t="s">
        <v>2209</v>
      </c>
      <c r="F1535" s="36" t="s">
        <v>656</v>
      </c>
      <c r="G1535" s="36" t="s">
        <v>213</v>
      </c>
      <c r="H1535" s="36">
        <v>1</v>
      </c>
    </row>
    <row r="1536" spans="1:8" ht="12.75" customHeight="1" x14ac:dyDescent="0.3">
      <c r="A1536" s="36">
        <v>6193</v>
      </c>
      <c r="B1536" s="36">
        <v>20001101056</v>
      </c>
      <c r="C1536" s="36" t="s">
        <v>1685</v>
      </c>
      <c r="D1536" s="36" t="s">
        <v>1686</v>
      </c>
      <c r="E1536" s="36" t="s">
        <v>3443</v>
      </c>
      <c r="F1536" s="36" t="s">
        <v>656</v>
      </c>
      <c r="G1536" s="36" t="s">
        <v>244</v>
      </c>
      <c r="H1536" s="36">
        <v>1</v>
      </c>
    </row>
    <row r="1537" spans="1:8" ht="12.75" customHeight="1" x14ac:dyDescent="0.3">
      <c r="A1537" s="36">
        <v>6195</v>
      </c>
      <c r="B1537" s="36">
        <v>20000660028</v>
      </c>
      <c r="C1537" s="36" t="s">
        <v>1205</v>
      </c>
      <c r="D1537" s="36" t="s">
        <v>923</v>
      </c>
      <c r="E1537" s="36" t="s">
        <v>1206</v>
      </c>
      <c r="F1537" s="36" t="s">
        <v>656</v>
      </c>
      <c r="G1537" s="36" t="s">
        <v>213</v>
      </c>
      <c r="H1537" s="36">
        <v>1</v>
      </c>
    </row>
    <row r="1538" spans="1:8" ht="12.75" customHeight="1" x14ac:dyDescent="0.3">
      <c r="A1538" s="36">
        <v>6197</v>
      </c>
      <c r="B1538" s="36">
        <v>20009001102</v>
      </c>
      <c r="C1538" s="36" t="s">
        <v>639</v>
      </c>
      <c r="D1538" s="36" t="s">
        <v>1987</v>
      </c>
      <c r="E1538" s="36" t="s">
        <v>1988</v>
      </c>
      <c r="F1538" s="36" t="s">
        <v>656</v>
      </c>
      <c r="G1538" s="36" t="s">
        <v>213</v>
      </c>
      <c r="H1538" s="36">
        <v>1</v>
      </c>
    </row>
    <row r="1539" spans="1:8" ht="12.75" customHeight="1" x14ac:dyDescent="0.3">
      <c r="A1539" s="36">
        <v>6199</v>
      </c>
      <c r="B1539" s="36">
        <v>20001051038</v>
      </c>
      <c r="C1539" s="36" t="s">
        <v>896</v>
      </c>
      <c r="D1539" s="36" t="s">
        <v>1337</v>
      </c>
      <c r="E1539" s="36" t="s">
        <v>1326</v>
      </c>
      <c r="F1539" s="36" t="s">
        <v>656</v>
      </c>
      <c r="G1539" s="36" t="s">
        <v>244</v>
      </c>
      <c r="H1539" s="36">
        <v>1</v>
      </c>
    </row>
    <row r="1540" spans="1:8" ht="12.75" customHeight="1" x14ac:dyDescent="0.3">
      <c r="A1540" s="36">
        <v>6200</v>
      </c>
      <c r="B1540" s="36">
        <v>20020051039</v>
      </c>
      <c r="C1540" s="36" t="s">
        <v>2206</v>
      </c>
      <c r="D1540" s="36" t="s">
        <v>2207</v>
      </c>
      <c r="E1540" s="36" t="s">
        <v>3487</v>
      </c>
      <c r="F1540" s="36" t="s">
        <v>656</v>
      </c>
      <c r="G1540" s="36" t="s">
        <v>244</v>
      </c>
      <c r="H1540" s="36">
        <v>1</v>
      </c>
    </row>
    <row r="1541" spans="1:8" ht="12.75" customHeight="1" x14ac:dyDescent="0.3">
      <c r="A1541" s="36">
        <v>6201</v>
      </c>
      <c r="B1541" s="36">
        <v>20001051038</v>
      </c>
      <c r="C1541" s="36" t="s">
        <v>1346</v>
      </c>
      <c r="D1541" s="36" t="s">
        <v>1347</v>
      </c>
      <c r="E1541" s="36" t="s">
        <v>1326</v>
      </c>
      <c r="F1541" s="36" t="s">
        <v>656</v>
      </c>
      <c r="G1541" s="36" t="s">
        <v>244</v>
      </c>
      <c r="H1541" s="36">
        <v>1</v>
      </c>
    </row>
    <row r="1542" spans="1:8" ht="12.75" customHeight="1" x14ac:dyDescent="0.3">
      <c r="A1542" s="36">
        <v>6202</v>
      </c>
      <c r="B1542" s="36">
        <v>20001051038</v>
      </c>
      <c r="C1542" s="36" t="s">
        <v>636</v>
      </c>
      <c r="D1542" s="36" t="s">
        <v>1231</v>
      </c>
      <c r="E1542" s="36" t="s">
        <v>1326</v>
      </c>
      <c r="F1542" s="36" t="s">
        <v>656</v>
      </c>
      <c r="G1542" s="36" t="s">
        <v>213</v>
      </c>
      <c r="H1542" s="36">
        <v>1</v>
      </c>
    </row>
    <row r="1543" spans="1:8" ht="12.75" customHeight="1" x14ac:dyDescent="0.3">
      <c r="A1543" s="36">
        <v>6204</v>
      </c>
      <c r="B1543" s="36">
        <v>20001101037</v>
      </c>
      <c r="C1543" s="36" t="s">
        <v>1633</v>
      </c>
      <c r="D1543" s="36" t="s">
        <v>1247</v>
      </c>
      <c r="E1543" s="36" t="s">
        <v>3445</v>
      </c>
      <c r="F1543" s="36" t="s">
        <v>1327</v>
      </c>
      <c r="G1543" s="36" t="s">
        <v>244</v>
      </c>
      <c r="H1543" s="36">
        <v>1</v>
      </c>
    </row>
    <row r="1544" spans="1:8" ht="12.75" customHeight="1" x14ac:dyDescent="0.3">
      <c r="A1544" s="36">
        <v>6206</v>
      </c>
      <c r="B1544" s="36">
        <v>20009001101</v>
      </c>
      <c r="C1544" s="36" t="s">
        <v>1968</v>
      </c>
      <c r="D1544" s="36" t="s">
        <v>1098</v>
      </c>
      <c r="E1544" s="36" t="s">
        <v>3451</v>
      </c>
      <c r="F1544" s="36" t="s">
        <v>1327</v>
      </c>
      <c r="G1544" s="36" t="s">
        <v>244</v>
      </c>
      <c r="H1544" s="36">
        <v>1</v>
      </c>
    </row>
    <row r="1545" spans="1:8" ht="12.75" customHeight="1" x14ac:dyDescent="0.3">
      <c r="A1545" s="36">
        <v>6213</v>
      </c>
      <c r="B1545" s="36">
        <v>20001051034</v>
      </c>
      <c r="C1545" s="36" t="s">
        <v>696</v>
      </c>
      <c r="D1545" s="36" t="s">
        <v>850</v>
      </c>
      <c r="E1545" s="36" t="s">
        <v>1326</v>
      </c>
      <c r="F1545" s="36" t="s">
        <v>1327</v>
      </c>
      <c r="G1545" s="36" t="s">
        <v>244</v>
      </c>
      <c r="H1545" s="36">
        <v>1</v>
      </c>
    </row>
    <row r="1546" spans="1:8" ht="12.75" customHeight="1" x14ac:dyDescent="0.3">
      <c r="A1546" s="36">
        <v>6214</v>
      </c>
      <c r="B1546" s="36">
        <v>20001051034</v>
      </c>
      <c r="C1546" s="36" t="s">
        <v>1329</v>
      </c>
      <c r="D1546" s="36" t="s">
        <v>1330</v>
      </c>
      <c r="E1546" s="36" t="s">
        <v>1326</v>
      </c>
      <c r="F1546" s="36" t="s">
        <v>1327</v>
      </c>
      <c r="G1546" s="36" t="s">
        <v>244</v>
      </c>
      <c r="H1546" s="36">
        <v>1</v>
      </c>
    </row>
    <row r="1547" spans="1:8" ht="12.75" customHeight="1" x14ac:dyDescent="0.3">
      <c r="A1547" s="36">
        <v>6215</v>
      </c>
      <c r="B1547" s="36">
        <v>20001051034</v>
      </c>
      <c r="C1547" s="36" t="s">
        <v>1331</v>
      </c>
      <c r="D1547" s="36" t="s">
        <v>1332</v>
      </c>
      <c r="E1547" s="36" t="s">
        <v>1333</v>
      </c>
      <c r="F1547" s="36" t="s">
        <v>1327</v>
      </c>
      <c r="G1547" s="36" t="s">
        <v>213</v>
      </c>
      <c r="H1547" s="36">
        <v>1</v>
      </c>
    </row>
    <row r="1548" spans="1:8" ht="12.75" customHeight="1" x14ac:dyDescent="0.3">
      <c r="A1548" s="36">
        <v>6217</v>
      </c>
      <c r="B1548" s="36">
        <v>20051092067</v>
      </c>
      <c r="C1548" s="36" t="s">
        <v>2340</v>
      </c>
      <c r="D1548" s="36" t="s">
        <v>1463</v>
      </c>
      <c r="E1548" s="36" t="s">
        <v>2339</v>
      </c>
      <c r="F1548" s="36" t="s">
        <v>628</v>
      </c>
      <c r="G1548" s="36" t="s">
        <v>213</v>
      </c>
      <c r="H1548" s="36">
        <v>1</v>
      </c>
    </row>
    <row r="1549" spans="1:8" ht="12.75" customHeight="1" x14ac:dyDescent="0.3">
      <c r="A1549" s="36">
        <v>6218</v>
      </c>
      <c r="B1549" s="36">
        <v>20000570122</v>
      </c>
      <c r="C1549" s="36" t="s">
        <v>1061</v>
      </c>
      <c r="D1549" s="36" t="s">
        <v>816</v>
      </c>
      <c r="E1549" s="36" t="s">
        <v>1031</v>
      </c>
      <c r="F1549" s="36" t="s">
        <v>628</v>
      </c>
      <c r="G1549" s="36" t="s">
        <v>213</v>
      </c>
      <c r="H1549" s="36">
        <v>1</v>
      </c>
    </row>
    <row r="1550" spans="1:8" ht="12.75" customHeight="1" x14ac:dyDescent="0.3">
      <c r="A1550" s="36">
        <v>6219</v>
      </c>
      <c r="B1550" s="36">
        <v>20001102068</v>
      </c>
      <c r="C1550" s="36" t="s">
        <v>1713</v>
      </c>
      <c r="D1550" s="36" t="s">
        <v>1714</v>
      </c>
      <c r="E1550" s="36" t="s">
        <v>3414</v>
      </c>
      <c r="F1550" s="36" t="s">
        <v>628</v>
      </c>
      <c r="G1550" s="36" t="s">
        <v>244</v>
      </c>
      <c r="H1550" s="36">
        <v>1</v>
      </c>
    </row>
    <row r="1551" spans="1:8" ht="12.75" customHeight="1" x14ac:dyDescent="0.3">
      <c r="A1551" s="36">
        <v>6220</v>
      </c>
      <c r="B1551" s="36">
        <v>20001102068</v>
      </c>
      <c r="C1551" s="36" t="s">
        <v>1749</v>
      </c>
      <c r="D1551" s="36" t="s">
        <v>1750</v>
      </c>
      <c r="E1551" s="36" t="s">
        <v>3415</v>
      </c>
      <c r="F1551" s="36" t="s">
        <v>628</v>
      </c>
      <c r="G1551" s="36" t="s">
        <v>244</v>
      </c>
      <c r="H1551" s="36">
        <v>1</v>
      </c>
    </row>
    <row r="1552" spans="1:8" ht="12.75" customHeight="1" x14ac:dyDescent="0.3">
      <c r="A1552" s="36">
        <v>6221</v>
      </c>
      <c r="B1552" s="36">
        <v>20001102068</v>
      </c>
      <c r="C1552" s="36" t="s">
        <v>1717</v>
      </c>
      <c r="D1552" s="36" t="s">
        <v>976</v>
      </c>
      <c r="E1552" s="36" t="s">
        <v>1639</v>
      </c>
      <c r="F1552" s="36" t="s">
        <v>628</v>
      </c>
      <c r="G1552" s="36" t="s">
        <v>213</v>
      </c>
      <c r="H1552" s="36">
        <v>1</v>
      </c>
    </row>
    <row r="1553" spans="1:8" ht="12.75" customHeight="1" x14ac:dyDescent="0.3">
      <c r="A1553" s="36">
        <v>6222</v>
      </c>
      <c r="B1553" s="36">
        <v>20020112073</v>
      </c>
      <c r="C1553" s="36" t="s">
        <v>2258</v>
      </c>
      <c r="D1553" s="36" t="s">
        <v>702</v>
      </c>
      <c r="E1553" s="36" t="s">
        <v>1807</v>
      </c>
      <c r="F1553" s="36" t="s">
        <v>628</v>
      </c>
      <c r="G1553" s="36" t="s">
        <v>213</v>
      </c>
      <c r="H1553" s="36">
        <v>1</v>
      </c>
    </row>
    <row r="1554" spans="1:8" ht="12.75" customHeight="1" x14ac:dyDescent="0.3">
      <c r="A1554" s="36">
        <v>6225</v>
      </c>
      <c r="B1554" s="36">
        <v>20001102068</v>
      </c>
      <c r="C1554" s="36" t="s">
        <v>2843</v>
      </c>
      <c r="D1554" s="36" t="s">
        <v>679</v>
      </c>
      <c r="E1554" s="36" t="s">
        <v>3196</v>
      </c>
      <c r="F1554" s="36" t="s">
        <v>628</v>
      </c>
      <c r="G1554" s="36" t="s">
        <v>213</v>
      </c>
      <c r="H1554" s="36">
        <v>1</v>
      </c>
    </row>
    <row r="1555" spans="1:8" ht="12.75" customHeight="1" x14ac:dyDescent="0.3">
      <c r="A1555" s="36">
        <v>6226</v>
      </c>
      <c r="B1555" s="36">
        <v>20001102068</v>
      </c>
      <c r="C1555" s="36" t="s">
        <v>1729</v>
      </c>
      <c r="D1555" s="36" t="s">
        <v>1730</v>
      </c>
      <c r="E1555" s="36" t="s">
        <v>1716</v>
      </c>
      <c r="F1555" s="36" t="s">
        <v>628</v>
      </c>
      <c r="G1555" s="36" t="s">
        <v>213</v>
      </c>
      <c r="H1555" s="36">
        <v>1</v>
      </c>
    </row>
    <row r="1556" spans="1:8" ht="12.75" customHeight="1" x14ac:dyDescent="0.3">
      <c r="A1556" s="36">
        <v>6227</v>
      </c>
      <c r="B1556" s="36">
        <v>20000570122</v>
      </c>
      <c r="C1556" s="36" t="s">
        <v>1067</v>
      </c>
      <c r="D1556" s="36" t="s">
        <v>1068</v>
      </c>
      <c r="E1556" s="36" t="s">
        <v>1049</v>
      </c>
      <c r="F1556" s="36" t="s">
        <v>628</v>
      </c>
      <c r="G1556" s="36" t="s">
        <v>213</v>
      </c>
      <c r="H1556" s="36">
        <v>1</v>
      </c>
    </row>
    <row r="1557" spans="1:8" ht="12.75" customHeight="1" x14ac:dyDescent="0.3">
      <c r="A1557" s="36">
        <v>6228</v>
      </c>
      <c r="B1557" s="36">
        <v>20000570122</v>
      </c>
      <c r="C1557" s="36" t="s">
        <v>1069</v>
      </c>
      <c r="D1557" s="36" t="s">
        <v>1070</v>
      </c>
      <c r="E1557" s="36" t="s">
        <v>3138</v>
      </c>
      <c r="F1557" s="36" t="s">
        <v>628</v>
      </c>
      <c r="G1557" s="36" t="s">
        <v>213</v>
      </c>
      <c r="H1557" s="36">
        <v>1</v>
      </c>
    </row>
    <row r="1558" spans="1:8" ht="12.75" customHeight="1" x14ac:dyDescent="0.3">
      <c r="A1558" s="36">
        <v>6229</v>
      </c>
      <c r="B1558" s="36">
        <v>20000570122</v>
      </c>
      <c r="C1558" s="36" t="s">
        <v>2441</v>
      </c>
      <c r="D1558" s="36" t="s">
        <v>3607</v>
      </c>
      <c r="E1558" s="36" t="s">
        <v>3173</v>
      </c>
      <c r="F1558" s="36" t="s">
        <v>628</v>
      </c>
      <c r="G1558" s="36" t="s">
        <v>244</v>
      </c>
      <c r="H1558" s="36">
        <v>1</v>
      </c>
    </row>
    <row r="1559" spans="1:8" ht="12.75" customHeight="1" x14ac:dyDescent="0.3">
      <c r="A1559" s="36">
        <v>6232</v>
      </c>
      <c r="B1559" s="36">
        <v>20000570122</v>
      </c>
      <c r="C1559" s="36" t="s">
        <v>1072</v>
      </c>
      <c r="D1559" s="36" t="s">
        <v>1073</v>
      </c>
      <c r="E1559" s="36" t="s">
        <v>1034</v>
      </c>
      <c r="F1559" s="36" t="s">
        <v>628</v>
      </c>
      <c r="G1559" s="36" t="s">
        <v>213</v>
      </c>
      <c r="H1559" s="36">
        <v>1</v>
      </c>
    </row>
    <row r="1560" spans="1:8" ht="12.75" customHeight="1" x14ac:dyDescent="0.3">
      <c r="A1560" s="36">
        <v>6234</v>
      </c>
      <c r="B1560" s="36">
        <v>20001102068</v>
      </c>
      <c r="C1560" s="36" t="s">
        <v>1747</v>
      </c>
      <c r="D1560" s="36" t="s">
        <v>1748</v>
      </c>
      <c r="E1560" s="36" t="s">
        <v>3431</v>
      </c>
      <c r="F1560" s="36" t="s">
        <v>628</v>
      </c>
      <c r="G1560" s="36" t="s">
        <v>244</v>
      </c>
      <c r="H1560" s="36">
        <v>1</v>
      </c>
    </row>
    <row r="1561" spans="1:8" ht="12.75" customHeight="1" x14ac:dyDescent="0.3">
      <c r="A1561" s="36">
        <v>6235</v>
      </c>
      <c r="B1561" s="36">
        <v>20001050115</v>
      </c>
      <c r="C1561" s="36" t="s">
        <v>1075</v>
      </c>
      <c r="D1561" s="36" t="s">
        <v>627</v>
      </c>
      <c r="E1561" s="36" t="s">
        <v>2943</v>
      </c>
      <c r="F1561" s="36" t="s">
        <v>628</v>
      </c>
      <c r="G1561" s="36" t="s">
        <v>213</v>
      </c>
      <c r="H1561" s="36">
        <v>1</v>
      </c>
    </row>
    <row r="1562" spans="1:8" ht="12.75" customHeight="1" x14ac:dyDescent="0.3">
      <c r="A1562" s="36">
        <v>6236</v>
      </c>
      <c r="B1562" s="36">
        <v>20000110105</v>
      </c>
      <c r="C1562" s="36" t="s">
        <v>638</v>
      </c>
      <c r="D1562" s="36" t="s">
        <v>639</v>
      </c>
      <c r="E1562" s="36" t="s">
        <v>2607</v>
      </c>
      <c r="F1562" s="36" t="s">
        <v>628</v>
      </c>
      <c r="G1562" s="36" t="s">
        <v>244</v>
      </c>
      <c r="H1562" s="36">
        <v>1</v>
      </c>
    </row>
    <row r="1563" spans="1:8" ht="12.75" customHeight="1" x14ac:dyDescent="0.3">
      <c r="A1563" s="36">
        <v>6237</v>
      </c>
      <c r="B1563" s="36">
        <v>20000570122</v>
      </c>
      <c r="C1563" s="36" t="s">
        <v>1076</v>
      </c>
      <c r="D1563" s="36" t="s">
        <v>997</v>
      </c>
      <c r="E1563" s="36" t="s">
        <v>1031</v>
      </c>
      <c r="F1563" s="36" t="s">
        <v>628</v>
      </c>
      <c r="G1563" s="36" t="s">
        <v>213</v>
      </c>
      <c r="H1563" s="36">
        <v>1</v>
      </c>
    </row>
    <row r="1564" spans="1:8" ht="12.75" customHeight="1" x14ac:dyDescent="0.3">
      <c r="A1564" s="36">
        <v>6240</v>
      </c>
      <c r="B1564" s="36">
        <v>20019110095</v>
      </c>
      <c r="C1564" s="36" t="s">
        <v>2187</v>
      </c>
      <c r="D1564" s="36" t="s">
        <v>1332</v>
      </c>
      <c r="E1564" s="36" t="s">
        <v>2188</v>
      </c>
      <c r="F1564" s="36" t="s">
        <v>628</v>
      </c>
      <c r="G1564" s="36" t="s">
        <v>244</v>
      </c>
      <c r="H1564" s="36">
        <v>1</v>
      </c>
    </row>
    <row r="1565" spans="1:8" ht="12.75" customHeight="1" x14ac:dyDescent="0.3">
      <c r="A1565" s="36">
        <v>6241</v>
      </c>
      <c r="B1565" s="36">
        <v>20009001108</v>
      </c>
      <c r="C1565" s="36" t="s">
        <v>1456</v>
      </c>
      <c r="D1565" s="36" t="s">
        <v>1360</v>
      </c>
      <c r="E1565" s="36" t="s">
        <v>2044</v>
      </c>
      <c r="F1565" s="36" t="s">
        <v>628</v>
      </c>
      <c r="G1565" s="36" t="s">
        <v>244</v>
      </c>
      <c r="H1565" s="36">
        <v>1</v>
      </c>
    </row>
    <row r="1566" spans="1:8" ht="12.75" customHeight="1" x14ac:dyDescent="0.3">
      <c r="A1566" s="36">
        <v>6242</v>
      </c>
      <c r="B1566" s="36">
        <v>20009001108</v>
      </c>
      <c r="C1566" s="36" t="s">
        <v>2045</v>
      </c>
      <c r="D1566" s="36" t="s">
        <v>2046</v>
      </c>
      <c r="E1566" s="36" t="s">
        <v>1970</v>
      </c>
      <c r="F1566" s="36" t="s">
        <v>628</v>
      </c>
      <c r="G1566" s="36" t="s">
        <v>213</v>
      </c>
      <c r="H1566" s="36">
        <v>1</v>
      </c>
    </row>
    <row r="1567" spans="1:8" ht="12.75" customHeight="1" x14ac:dyDescent="0.3">
      <c r="A1567" s="36">
        <v>6244</v>
      </c>
      <c r="B1567" s="36">
        <v>20001102068</v>
      </c>
      <c r="C1567" s="36" t="s">
        <v>1721</v>
      </c>
      <c r="D1567" s="36" t="s">
        <v>1722</v>
      </c>
      <c r="E1567" s="36" t="s">
        <v>3488</v>
      </c>
      <c r="F1567" s="36" t="s">
        <v>628</v>
      </c>
      <c r="G1567" s="36" t="s">
        <v>244</v>
      </c>
      <c r="H1567" s="36">
        <v>1</v>
      </c>
    </row>
    <row r="1568" spans="1:8" ht="12.75" customHeight="1" x14ac:dyDescent="0.3">
      <c r="A1568" s="36">
        <v>6246</v>
      </c>
      <c r="B1568" s="36">
        <v>20009001108</v>
      </c>
      <c r="C1568" s="36" t="s">
        <v>615</v>
      </c>
      <c r="D1568" s="36" t="s">
        <v>844</v>
      </c>
      <c r="E1568" s="36" t="s">
        <v>1970</v>
      </c>
      <c r="F1568" s="36" t="s">
        <v>628</v>
      </c>
      <c r="G1568" s="36" t="s">
        <v>244</v>
      </c>
      <c r="H1568" s="36">
        <v>0.5</v>
      </c>
    </row>
    <row r="1569" spans="1:8" ht="12.75" customHeight="1" x14ac:dyDescent="0.3">
      <c r="A1569" s="36">
        <v>6247</v>
      </c>
      <c r="B1569" s="36">
        <v>20009001108</v>
      </c>
      <c r="C1569" s="36" t="s">
        <v>2047</v>
      </c>
      <c r="D1569" s="36" t="s">
        <v>2048</v>
      </c>
      <c r="E1569" s="36" t="s">
        <v>1970</v>
      </c>
      <c r="F1569" s="36" t="s">
        <v>628</v>
      </c>
      <c r="G1569" s="36" t="s">
        <v>213</v>
      </c>
      <c r="H1569" s="36">
        <v>1</v>
      </c>
    </row>
    <row r="1570" spans="1:8" ht="12.75" customHeight="1" x14ac:dyDescent="0.3">
      <c r="A1570" s="36">
        <v>6249</v>
      </c>
      <c r="B1570" s="36">
        <v>20022001102</v>
      </c>
      <c r="C1570" s="36" t="s">
        <v>2301</v>
      </c>
      <c r="D1570" s="36" t="s">
        <v>925</v>
      </c>
      <c r="E1570" s="36" t="s">
        <v>2100</v>
      </c>
      <c r="F1570" s="36" t="s">
        <v>628</v>
      </c>
      <c r="G1570" s="36" t="s">
        <v>213</v>
      </c>
      <c r="H1570" s="36">
        <v>1</v>
      </c>
    </row>
    <row r="1571" spans="1:8" ht="12.75" customHeight="1" x14ac:dyDescent="0.3">
      <c r="A1571" s="36">
        <v>6250</v>
      </c>
      <c r="B1571" s="36">
        <v>20009001108</v>
      </c>
      <c r="C1571" s="36" t="s">
        <v>2049</v>
      </c>
      <c r="D1571" s="36" t="s">
        <v>746</v>
      </c>
      <c r="E1571" s="36" t="s">
        <v>1970</v>
      </c>
      <c r="F1571" s="36" t="s">
        <v>628</v>
      </c>
      <c r="G1571" s="36" t="s">
        <v>213</v>
      </c>
      <c r="H1571" s="36">
        <v>1</v>
      </c>
    </row>
    <row r="1572" spans="1:8" ht="12.75" customHeight="1" x14ac:dyDescent="0.3">
      <c r="A1572" s="36">
        <v>6251</v>
      </c>
      <c r="B1572" s="36">
        <v>20009001108</v>
      </c>
      <c r="C1572" s="36" t="s">
        <v>2050</v>
      </c>
      <c r="D1572" s="36" t="s">
        <v>844</v>
      </c>
      <c r="E1572" s="36" t="s">
        <v>1970</v>
      </c>
      <c r="F1572" s="36" t="s">
        <v>628</v>
      </c>
      <c r="G1572" s="36" t="s">
        <v>213</v>
      </c>
      <c r="H1572" s="36">
        <v>1</v>
      </c>
    </row>
    <row r="1573" spans="1:8" ht="12.75" customHeight="1" x14ac:dyDescent="0.3">
      <c r="A1573" s="36">
        <v>6252</v>
      </c>
      <c r="B1573" s="36">
        <v>20022001102</v>
      </c>
      <c r="C1573" s="36" t="s">
        <v>2304</v>
      </c>
      <c r="D1573" s="36" t="s">
        <v>2193</v>
      </c>
      <c r="E1573" s="36" t="s">
        <v>3432</v>
      </c>
      <c r="F1573" s="36" t="s">
        <v>628</v>
      </c>
      <c r="G1573" s="36" t="s">
        <v>244</v>
      </c>
      <c r="H1573" s="36">
        <v>1</v>
      </c>
    </row>
    <row r="1574" spans="1:8" ht="12.75" customHeight="1" x14ac:dyDescent="0.3">
      <c r="A1574" s="36">
        <v>6254</v>
      </c>
      <c r="B1574" s="36">
        <v>20009001108</v>
      </c>
      <c r="C1574" s="36" t="s">
        <v>2054</v>
      </c>
      <c r="D1574" s="36" t="s">
        <v>785</v>
      </c>
      <c r="E1574" s="36" t="s">
        <v>1970</v>
      </c>
      <c r="F1574" s="36" t="s">
        <v>628</v>
      </c>
      <c r="G1574" s="36" t="s">
        <v>213</v>
      </c>
      <c r="H1574" s="36">
        <v>0.5</v>
      </c>
    </row>
    <row r="1575" spans="1:8" ht="12.75" customHeight="1" x14ac:dyDescent="0.3">
      <c r="A1575" s="36">
        <v>6255</v>
      </c>
      <c r="B1575" s="36">
        <v>20009001108</v>
      </c>
      <c r="C1575" s="36" t="s">
        <v>1129</v>
      </c>
      <c r="D1575" s="36" t="s">
        <v>850</v>
      </c>
      <c r="E1575" s="36" t="s">
        <v>1970</v>
      </c>
      <c r="F1575" s="36" t="s">
        <v>628</v>
      </c>
      <c r="G1575" s="36" t="s">
        <v>213</v>
      </c>
      <c r="H1575" s="36">
        <v>1</v>
      </c>
    </row>
    <row r="1576" spans="1:8" ht="12.75" customHeight="1" x14ac:dyDescent="0.3">
      <c r="A1576" s="36">
        <v>6258</v>
      </c>
      <c r="B1576" s="36">
        <v>20009001108</v>
      </c>
      <c r="C1576" s="36" t="s">
        <v>2065</v>
      </c>
      <c r="D1576" s="36" t="s">
        <v>2066</v>
      </c>
      <c r="E1576" s="36" t="s">
        <v>1970</v>
      </c>
      <c r="F1576" s="36" t="s">
        <v>628</v>
      </c>
      <c r="G1576" s="36" t="s">
        <v>244</v>
      </c>
      <c r="H1576" s="36">
        <v>1</v>
      </c>
    </row>
    <row r="1577" spans="1:8" ht="12.75" customHeight="1" x14ac:dyDescent="0.3">
      <c r="A1577" s="36">
        <v>6259</v>
      </c>
      <c r="B1577" s="36">
        <v>20009001108</v>
      </c>
      <c r="C1577" s="36" t="s">
        <v>2071</v>
      </c>
      <c r="D1577" s="36" t="s">
        <v>2072</v>
      </c>
      <c r="E1577" s="36" t="s">
        <v>1970</v>
      </c>
      <c r="F1577" s="36" t="s">
        <v>628</v>
      </c>
      <c r="G1577" s="36" t="s">
        <v>213</v>
      </c>
      <c r="H1577" s="36">
        <v>1</v>
      </c>
    </row>
    <row r="1578" spans="1:8" ht="12.75" customHeight="1" x14ac:dyDescent="0.3">
      <c r="A1578" s="36">
        <v>6260</v>
      </c>
      <c r="B1578" s="36">
        <v>20020092067</v>
      </c>
      <c r="C1578" s="36" t="s">
        <v>2071</v>
      </c>
      <c r="D1578" s="36" t="s">
        <v>2240</v>
      </c>
      <c r="E1578" s="36" t="s">
        <v>1967</v>
      </c>
      <c r="F1578" s="36" t="s">
        <v>628</v>
      </c>
      <c r="G1578" s="36" t="s">
        <v>213</v>
      </c>
      <c r="H1578" s="36">
        <v>1</v>
      </c>
    </row>
    <row r="1579" spans="1:8" ht="12.75" customHeight="1" x14ac:dyDescent="0.3">
      <c r="A1579" s="36">
        <v>6261</v>
      </c>
      <c r="B1579" s="36">
        <v>20009001108</v>
      </c>
      <c r="C1579" s="36" t="s">
        <v>2073</v>
      </c>
      <c r="D1579" s="36" t="s">
        <v>2074</v>
      </c>
      <c r="E1579" s="36" t="s">
        <v>3404</v>
      </c>
      <c r="F1579" s="36" t="s">
        <v>628</v>
      </c>
      <c r="G1579" s="36" t="s">
        <v>244</v>
      </c>
      <c r="H1579" s="36">
        <v>1</v>
      </c>
    </row>
    <row r="1580" spans="1:8" ht="12.75" customHeight="1" x14ac:dyDescent="0.3">
      <c r="A1580" s="36">
        <v>6263</v>
      </c>
      <c r="B1580" s="36">
        <v>20009001108</v>
      </c>
      <c r="C1580" s="36" t="s">
        <v>2077</v>
      </c>
      <c r="D1580" s="36" t="s">
        <v>901</v>
      </c>
      <c r="E1580" s="36" t="s">
        <v>1970</v>
      </c>
      <c r="F1580" s="36" t="s">
        <v>628</v>
      </c>
      <c r="G1580" s="36" t="s">
        <v>213</v>
      </c>
      <c r="H1580" s="36">
        <v>1</v>
      </c>
    </row>
    <row r="1581" spans="1:8" ht="12.75" customHeight="1" x14ac:dyDescent="0.3">
      <c r="A1581" s="36">
        <v>6265</v>
      </c>
      <c r="B1581" s="36">
        <v>20022001102</v>
      </c>
      <c r="C1581" s="36" t="s">
        <v>2311</v>
      </c>
      <c r="D1581" s="36" t="s">
        <v>1344</v>
      </c>
      <c r="E1581" s="36" t="s">
        <v>3432</v>
      </c>
      <c r="F1581" s="36" t="s">
        <v>628</v>
      </c>
      <c r="G1581" s="36" t="s">
        <v>244</v>
      </c>
      <c r="H1581" s="36">
        <v>1</v>
      </c>
    </row>
    <row r="1582" spans="1:8" ht="12.75" customHeight="1" x14ac:dyDescent="0.3">
      <c r="A1582" s="36">
        <v>6267</v>
      </c>
      <c r="B1582" s="36">
        <v>20022001102</v>
      </c>
      <c r="C1582" s="36" t="s">
        <v>2312</v>
      </c>
      <c r="D1582" s="36" t="s">
        <v>1126</v>
      </c>
      <c r="E1582" s="36" t="s">
        <v>3432</v>
      </c>
      <c r="F1582" s="36" t="s">
        <v>628</v>
      </c>
      <c r="G1582" s="36" t="s">
        <v>244</v>
      </c>
      <c r="H1582" s="36">
        <v>1</v>
      </c>
    </row>
    <row r="1583" spans="1:8" ht="12.75" customHeight="1" x14ac:dyDescent="0.3">
      <c r="A1583" s="36">
        <v>6268</v>
      </c>
      <c r="B1583" s="36">
        <v>20009001108</v>
      </c>
      <c r="C1583" s="36" t="s">
        <v>2089</v>
      </c>
      <c r="D1583" s="36" t="s">
        <v>1340</v>
      </c>
      <c r="E1583" s="36" t="s">
        <v>1970</v>
      </c>
      <c r="F1583" s="36" t="s">
        <v>628</v>
      </c>
      <c r="G1583" s="36" t="s">
        <v>145</v>
      </c>
      <c r="H1583" s="36">
        <v>1</v>
      </c>
    </row>
    <row r="1584" spans="1:8" ht="12.75" customHeight="1" x14ac:dyDescent="0.3">
      <c r="A1584" s="36">
        <v>6270</v>
      </c>
      <c r="B1584" s="36">
        <v>20001052065</v>
      </c>
      <c r="C1584" s="36" t="s">
        <v>1456</v>
      </c>
      <c r="D1584" s="36" t="s">
        <v>1457</v>
      </c>
      <c r="E1584" s="36" t="s">
        <v>1326</v>
      </c>
      <c r="F1584" s="36" t="s">
        <v>628</v>
      </c>
      <c r="G1584" s="36" t="s">
        <v>213</v>
      </c>
      <c r="H1584" s="36">
        <v>1</v>
      </c>
    </row>
    <row r="1585" spans="1:8" ht="12.75" customHeight="1" x14ac:dyDescent="0.3">
      <c r="A1585" s="36">
        <v>6271</v>
      </c>
      <c r="B1585" s="36">
        <v>20001052065</v>
      </c>
      <c r="C1585" s="36" t="s">
        <v>1456</v>
      </c>
      <c r="D1585" s="36" t="s">
        <v>688</v>
      </c>
      <c r="E1585" s="36" t="s">
        <v>1326</v>
      </c>
      <c r="F1585" s="36" t="s">
        <v>628</v>
      </c>
      <c r="G1585" s="36" t="s">
        <v>213</v>
      </c>
      <c r="H1585" s="36">
        <v>1</v>
      </c>
    </row>
    <row r="1586" spans="1:8" ht="12.75" customHeight="1" x14ac:dyDescent="0.3">
      <c r="A1586" s="36">
        <v>6272</v>
      </c>
      <c r="B1586" s="36">
        <v>20001052065</v>
      </c>
      <c r="C1586" s="36" t="s">
        <v>1456</v>
      </c>
      <c r="D1586" s="36" t="s">
        <v>741</v>
      </c>
      <c r="E1586" s="36" t="s">
        <v>1458</v>
      </c>
      <c r="F1586" s="36" t="s">
        <v>628</v>
      </c>
      <c r="G1586" s="36" t="s">
        <v>213</v>
      </c>
      <c r="H1586" s="36">
        <v>1</v>
      </c>
    </row>
    <row r="1587" spans="1:8" ht="12.75" customHeight="1" x14ac:dyDescent="0.3">
      <c r="A1587" s="36">
        <v>6273</v>
      </c>
      <c r="B1587" s="36">
        <v>20001052065</v>
      </c>
      <c r="C1587" s="36" t="s">
        <v>1460</v>
      </c>
      <c r="D1587" s="36" t="s">
        <v>715</v>
      </c>
      <c r="E1587" s="36" t="s">
        <v>1326</v>
      </c>
      <c r="F1587" s="36" t="s">
        <v>628</v>
      </c>
      <c r="G1587" s="36" t="s">
        <v>213</v>
      </c>
      <c r="H1587" s="36">
        <v>1</v>
      </c>
    </row>
    <row r="1588" spans="1:8" ht="12.75" customHeight="1" x14ac:dyDescent="0.3">
      <c r="A1588" s="36">
        <v>6274</v>
      </c>
      <c r="B1588" s="36">
        <v>20001052065</v>
      </c>
      <c r="C1588" s="36" t="s">
        <v>1469</v>
      </c>
      <c r="D1588" s="36" t="s">
        <v>748</v>
      </c>
      <c r="E1588" s="36" t="s">
        <v>1326</v>
      </c>
      <c r="F1588" s="36" t="s">
        <v>628</v>
      </c>
      <c r="G1588" s="36" t="s">
        <v>244</v>
      </c>
      <c r="H1588" s="36">
        <v>1</v>
      </c>
    </row>
    <row r="1589" spans="1:8" ht="12.75" customHeight="1" x14ac:dyDescent="0.3">
      <c r="A1589" s="36">
        <v>6275</v>
      </c>
      <c r="B1589" s="36">
        <v>20001052065</v>
      </c>
      <c r="C1589" s="36" t="s">
        <v>1472</v>
      </c>
      <c r="D1589" s="36" t="s">
        <v>752</v>
      </c>
      <c r="E1589" s="36" t="s">
        <v>3376</v>
      </c>
      <c r="F1589" s="36" t="s">
        <v>628</v>
      </c>
      <c r="G1589" s="36" t="s">
        <v>244</v>
      </c>
      <c r="H1589" s="36">
        <v>1</v>
      </c>
    </row>
    <row r="1590" spans="1:8" ht="12.75" customHeight="1" x14ac:dyDescent="0.3">
      <c r="A1590" s="36">
        <v>6276</v>
      </c>
      <c r="B1590" s="36">
        <v>20001052065</v>
      </c>
      <c r="C1590" s="36" t="s">
        <v>1472</v>
      </c>
      <c r="D1590" s="36" t="s">
        <v>1474</v>
      </c>
      <c r="E1590" s="36" t="s">
        <v>3376</v>
      </c>
      <c r="F1590" s="36" t="s">
        <v>628</v>
      </c>
      <c r="G1590" s="36" t="s">
        <v>244</v>
      </c>
      <c r="H1590" s="36">
        <v>1</v>
      </c>
    </row>
    <row r="1591" spans="1:8" ht="12.75" customHeight="1" x14ac:dyDescent="0.3">
      <c r="A1591" s="36">
        <v>6277</v>
      </c>
      <c r="B1591" s="36">
        <v>20001052065</v>
      </c>
      <c r="C1591" s="36" t="s">
        <v>1472</v>
      </c>
      <c r="D1591" s="36" t="s">
        <v>1473</v>
      </c>
      <c r="E1591" s="36" t="s">
        <v>3376</v>
      </c>
      <c r="F1591" s="36" t="s">
        <v>628</v>
      </c>
      <c r="G1591" s="36" t="s">
        <v>244</v>
      </c>
      <c r="H1591" s="36">
        <v>1</v>
      </c>
    </row>
    <row r="1592" spans="1:8" ht="12.75" customHeight="1" x14ac:dyDescent="0.3">
      <c r="A1592" s="36">
        <v>6278</v>
      </c>
      <c r="B1592" s="36">
        <v>20001052065</v>
      </c>
      <c r="C1592" s="36" t="s">
        <v>1475</v>
      </c>
      <c r="D1592" s="36" t="s">
        <v>1476</v>
      </c>
      <c r="E1592" s="36" t="s">
        <v>3376</v>
      </c>
      <c r="F1592" s="36" t="s">
        <v>628</v>
      </c>
      <c r="G1592" s="36" t="s">
        <v>244</v>
      </c>
      <c r="H1592" s="36">
        <v>1</v>
      </c>
    </row>
    <row r="1593" spans="1:8" ht="12.75" customHeight="1" x14ac:dyDescent="0.3">
      <c r="A1593" s="36">
        <v>6279</v>
      </c>
      <c r="B1593" s="36">
        <v>20001052065</v>
      </c>
      <c r="C1593" s="36" t="s">
        <v>1477</v>
      </c>
      <c r="D1593" s="36" t="s">
        <v>1344</v>
      </c>
      <c r="E1593" s="36" t="s">
        <v>1326</v>
      </c>
      <c r="F1593" s="36" t="s">
        <v>628</v>
      </c>
      <c r="G1593" s="36" t="s">
        <v>213</v>
      </c>
      <c r="H1593" s="36">
        <v>1</v>
      </c>
    </row>
    <row r="1594" spans="1:8" ht="12.75" customHeight="1" x14ac:dyDescent="0.3">
      <c r="A1594" s="36">
        <v>6280</v>
      </c>
      <c r="B1594" s="36">
        <v>20020052066</v>
      </c>
      <c r="C1594" s="36" t="s">
        <v>2192</v>
      </c>
      <c r="D1594" s="36" t="s">
        <v>2193</v>
      </c>
      <c r="E1594" s="36" t="s">
        <v>2470</v>
      </c>
      <c r="F1594" s="36" t="s">
        <v>628</v>
      </c>
      <c r="G1594" s="36" t="s">
        <v>213</v>
      </c>
      <c r="H1594" s="36">
        <v>1</v>
      </c>
    </row>
    <row r="1595" spans="1:8" ht="12.75" customHeight="1" x14ac:dyDescent="0.3">
      <c r="A1595" s="36">
        <v>6281</v>
      </c>
      <c r="B1595" s="36">
        <v>20017050141</v>
      </c>
      <c r="C1595" s="36" t="s">
        <v>1484</v>
      </c>
      <c r="D1595" s="36" t="s">
        <v>1485</v>
      </c>
      <c r="E1595" s="36" t="s">
        <v>2858</v>
      </c>
      <c r="F1595" s="36" t="s">
        <v>628</v>
      </c>
      <c r="G1595" s="36" t="s">
        <v>213</v>
      </c>
      <c r="H1595" s="36">
        <v>1</v>
      </c>
    </row>
    <row r="1596" spans="1:8" ht="12.75" customHeight="1" x14ac:dyDescent="0.3">
      <c r="A1596" s="36">
        <v>6283</v>
      </c>
      <c r="B1596" s="36">
        <v>20001052065</v>
      </c>
      <c r="C1596" s="36" t="s">
        <v>963</v>
      </c>
      <c r="D1596" s="36" t="s">
        <v>785</v>
      </c>
      <c r="E1596" s="36" t="s">
        <v>1326</v>
      </c>
      <c r="F1596" s="36" t="s">
        <v>628</v>
      </c>
      <c r="G1596" s="36" t="s">
        <v>213</v>
      </c>
      <c r="H1596" s="36">
        <v>1</v>
      </c>
    </row>
    <row r="1597" spans="1:8" ht="12.75" customHeight="1" x14ac:dyDescent="0.3">
      <c r="A1597" s="36">
        <v>6284</v>
      </c>
      <c r="B1597" s="36">
        <v>20017050141</v>
      </c>
      <c r="C1597" s="36" t="s">
        <v>1496</v>
      </c>
      <c r="D1597" s="36" t="s">
        <v>1497</v>
      </c>
      <c r="E1597" s="36" t="s">
        <v>2858</v>
      </c>
      <c r="F1597" s="36" t="s">
        <v>628</v>
      </c>
      <c r="G1597" s="36" t="s">
        <v>213</v>
      </c>
      <c r="H1597" s="36">
        <v>1</v>
      </c>
    </row>
    <row r="1598" spans="1:8" ht="12.75" customHeight="1" x14ac:dyDescent="0.3">
      <c r="A1598" s="36">
        <v>6285</v>
      </c>
      <c r="B1598" s="36">
        <v>20001052065</v>
      </c>
      <c r="C1598" s="36" t="s">
        <v>1499</v>
      </c>
      <c r="D1598" s="36" t="s">
        <v>852</v>
      </c>
      <c r="E1598" s="36" t="s">
        <v>1326</v>
      </c>
      <c r="F1598" s="36" t="s">
        <v>628</v>
      </c>
      <c r="G1598" s="36" t="s">
        <v>213</v>
      </c>
      <c r="H1598" s="36">
        <v>1</v>
      </c>
    </row>
    <row r="1599" spans="1:8" ht="12.75" customHeight="1" x14ac:dyDescent="0.3">
      <c r="A1599" s="36">
        <v>6286</v>
      </c>
      <c r="B1599" s="36">
        <v>20001052065</v>
      </c>
      <c r="C1599" s="36" t="s">
        <v>1502</v>
      </c>
      <c r="D1599" s="36" t="s">
        <v>1503</v>
      </c>
      <c r="E1599" s="36" t="s">
        <v>1326</v>
      </c>
      <c r="F1599" s="36" t="s">
        <v>628</v>
      </c>
      <c r="G1599" s="36" t="s">
        <v>244</v>
      </c>
      <c r="H1599" s="36">
        <v>1</v>
      </c>
    </row>
    <row r="1600" spans="1:8" ht="12.75" customHeight="1" x14ac:dyDescent="0.3">
      <c r="A1600" s="36">
        <v>6288</v>
      </c>
      <c r="B1600" s="36">
        <v>20001052065</v>
      </c>
      <c r="C1600" s="36" t="s">
        <v>1506</v>
      </c>
      <c r="D1600" s="36" t="s">
        <v>1507</v>
      </c>
      <c r="E1600" s="36" t="s">
        <v>3376</v>
      </c>
      <c r="F1600" s="36" t="s">
        <v>628</v>
      </c>
      <c r="G1600" s="36" t="s">
        <v>244</v>
      </c>
      <c r="H1600" s="36">
        <v>1</v>
      </c>
    </row>
    <row r="1601" spans="1:8" ht="12.75" customHeight="1" x14ac:dyDescent="0.3">
      <c r="A1601" s="36">
        <v>6289</v>
      </c>
      <c r="B1601" s="36">
        <v>20001052065</v>
      </c>
      <c r="C1601" s="36" t="s">
        <v>1176</v>
      </c>
      <c r="D1601" s="36" t="s">
        <v>1508</v>
      </c>
      <c r="E1601" s="36" t="s">
        <v>1326</v>
      </c>
      <c r="F1601" s="36" t="s">
        <v>628</v>
      </c>
      <c r="G1601" s="36" t="s">
        <v>213</v>
      </c>
      <c r="H1601" s="36">
        <v>1</v>
      </c>
    </row>
    <row r="1602" spans="1:8" ht="12.75" customHeight="1" x14ac:dyDescent="0.3">
      <c r="A1602" s="36">
        <v>6290</v>
      </c>
      <c r="B1602" s="36">
        <v>20001052065</v>
      </c>
      <c r="C1602" s="36" t="s">
        <v>1511</v>
      </c>
      <c r="D1602" s="36" t="s">
        <v>1126</v>
      </c>
      <c r="E1602" s="36" t="s">
        <v>1326</v>
      </c>
      <c r="F1602" s="36" t="s">
        <v>628</v>
      </c>
      <c r="G1602" s="36" t="s">
        <v>213</v>
      </c>
      <c r="H1602" s="36">
        <v>1</v>
      </c>
    </row>
    <row r="1603" spans="1:8" ht="12.75" customHeight="1" x14ac:dyDescent="0.3">
      <c r="A1603" s="36">
        <v>6291</v>
      </c>
      <c r="B1603" s="36">
        <v>20001052065</v>
      </c>
      <c r="C1603" s="36" t="s">
        <v>1516</v>
      </c>
      <c r="D1603" s="36" t="s">
        <v>1517</v>
      </c>
      <c r="E1603" s="36" t="s">
        <v>1326</v>
      </c>
      <c r="F1603" s="36" t="s">
        <v>628</v>
      </c>
      <c r="G1603" s="36" t="s">
        <v>213</v>
      </c>
      <c r="H1603" s="36">
        <v>1</v>
      </c>
    </row>
    <row r="1604" spans="1:8" ht="12.75" customHeight="1" x14ac:dyDescent="0.3">
      <c r="A1604" s="36">
        <v>6292</v>
      </c>
      <c r="B1604" s="36">
        <v>20001052065</v>
      </c>
      <c r="C1604" s="36" t="s">
        <v>1525</v>
      </c>
      <c r="D1604" s="36" t="s">
        <v>1526</v>
      </c>
      <c r="E1604" s="36" t="s">
        <v>1326</v>
      </c>
      <c r="F1604" s="36" t="s">
        <v>628</v>
      </c>
      <c r="G1604" s="36" t="s">
        <v>213</v>
      </c>
      <c r="H1604" s="36">
        <v>1</v>
      </c>
    </row>
    <row r="1605" spans="1:8" ht="12.75" customHeight="1" x14ac:dyDescent="0.3">
      <c r="A1605" s="36">
        <v>6293</v>
      </c>
      <c r="B1605" s="36">
        <v>20001052065</v>
      </c>
      <c r="C1605" s="36" t="s">
        <v>1185</v>
      </c>
      <c r="D1605" s="36" t="s">
        <v>1126</v>
      </c>
      <c r="E1605" s="36" t="s">
        <v>1326</v>
      </c>
      <c r="F1605" s="36" t="s">
        <v>628</v>
      </c>
      <c r="G1605" s="36" t="s">
        <v>244</v>
      </c>
      <c r="H1605" s="36">
        <v>1</v>
      </c>
    </row>
    <row r="1606" spans="1:8" ht="12.75" customHeight="1" x14ac:dyDescent="0.3">
      <c r="A1606" s="36">
        <v>6294</v>
      </c>
      <c r="B1606" s="36">
        <v>20001052065</v>
      </c>
      <c r="C1606" s="36" t="s">
        <v>1531</v>
      </c>
      <c r="D1606" s="36" t="s">
        <v>2844</v>
      </c>
      <c r="E1606" s="36" t="s">
        <v>1326</v>
      </c>
      <c r="F1606" s="36" t="s">
        <v>628</v>
      </c>
      <c r="G1606" s="36" t="s">
        <v>213</v>
      </c>
      <c r="H1606" s="36">
        <v>1</v>
      </c>
    </row>
    <row r="1607" spans="1:8" ht="12.75" customHeight="1" x14ac:dyDescent="0.3">
      <c r="A1607" s="36">
        <v>6295</v>
      </c>
      <c r="B1607" s="36">
        <v>20020052066</v>
      </c>
      <c r="C1607" s="36" t="s">
        <v>1690</v>
      </c>
      <c r="D1607" s="36" t="s">
        <v>715</v>
      </c>
      <c r="E1607" s="36" t="s">
        <v>2209</v>
      </c>
      <c r="F1607" s="36" t="s">
        <v>628</v>
      </c>
      <c r="G1607" s="36" t="s">
        <v>213</v>
      </c>
      <c r="H1607" s="36">
        <v>1</v>
      </c>
    </row>
    <row r="1608" spans="1:8" ht="12.75" customHeight="1" x14ac:dyDescent="0.3">
      <c r="A1608" s="36">
        <v>6296</v>
      </c>
      <c r="B1608" s="36">
        <v>20022001113</v>
      </c>
      <c r="C1608" s="36" t="s">
        <v>2322</v>
      </c>
      <c r="D1608" s="36" t="s">
        <v>2110</v>
      </c>
      <c r="E1608" s="36" t="s">
        <v>2100</v>
      </c>
      <c r="F1608" s="36" t="s">
        <v>1086</v>
      </c>
      <c r="G1608" s="36" t="s">
        <v>244</v>
      </c>
      <c r="H1608" s="36">
        <v>1</v>
      </c>
    </row>
    <row r="1609" spans="1:8" ht="12.75" customHeight="1" x14ac:dyDescent="0.3">
      <c r="A1609" s="36">
        <v>6297</v>
      </c>
      <c r="B1609" s="36">
        <v>20001104092</v>
      </c>
      <c r="C1609" s="36" t="s">
        <v>1823</v>
      </c>
      <c r="D1609" s="36" t="s">
        <v>1101</v>
      </c>
      <c r="E1609" s="36" t="s">
        <v>3489</v>
      </c>
      <c r="F1609" s="36" t="s">
        <v>1086</v>
      </c>
      <c r="G1609" s="36" t="s">
        <v>244</v>
      </c>
      <c r="H1609" s="36">
        <v>1</v>
      </c>
    </row>
    <row r="1610" spans="1:8" ht="12.75" customHeight="1" x14ac:dyDescent="0.3">
      <c r="A1610" s="36">
        <v>6298</v>
      </c>
      <c r="B1610" s="36">
        <v>20001104092</v>
      </c>
      <c r="C1610" s="36" t="s">
        <v>1824</v>
      </c>
      <c r="D1610" s="36" t="s">
        <v>1825</v>
      </c>
      <c r="E1610" s="36" t="s">
        <v>3405</v>
      </c>
      <c r="F1610" s="36" t="s">
        <v>1086</v>
      </c>
      <c r="G1610" s="36" t="s">
        <v>244</v>
      </c>
      <c r="H1610" s="36">
        <v>1</v>
      </c>
    </row>
    <row r="1611" spans="1:8" ht="12.75" customHeight="1" x14ac:dyDescent="0.3">
      <c r="A1611" s="36">
        <v>6299</v>
      </c>
      <c r="B1611" s="36">
        <v>20001104092</v>
      </c>
      <c r="C1611" s="36" t="s">
        <v>1572</v>
      </c>
      <c r="D1611" s="36" t="s">
        <v>797</v>
      </c>
      <c r="E1611" s="36" t="s">
        <v>1716</v>
      </c>
      <c r="F1611" s="36" t="s">
        <v>1086</v>
      </c>
      <c r="G1611" s="36" t="s">
        <v>244</v>
      </c>
      <c r="H1611" s="36">
        <v>0.5</v>
      </c>
    </row>
    <row r="1612" spans="1:8" ht="12.75" customHeight="1" x14ac:dyDescent="0.3">
      <c r="A1612" s="36">
        <v>6300</v>
      </c>
      <c r="B1612" s="36">
        <v>20009001113</v>
      </c>
      <c r="C1612" s="36" t="s">
        <v>2167</v>
      </c>
      <c r="D1612" s="36" t="s">
        <v>2168</v>
      </c>
      <c r="E1612" s="36" t="s">
        <v>3490</v>
      </c>
      <c r="F1612" s="36" t="s">
        <v>1086</v>
      </c>
      <c r="G1612" s="36" t="s">
        <v>244</v>
      </c>
      <c r="H1612" s="36">
        <v>1</v>
      </c>
    </row>
    <row r="1613" spans="1:8" ht="12.75" customHeight="1" x14ac:dyDescent="0.3">
      <c r="A1613" s="36">
        <v>6303</v>
      </c>
      <c r="B1613" s="36">
        <v>20009001113</v>
      </c>
      <c r="C1613" s="36" t="s">
        <v>2170</v>
      </c>
      <c r="D1613" s="36" t="s">
        <v>1806</v>
      </c>
      <c r="E1613" s="36" t="s">
        <v>3491</v>
      </c>
      <c r="F1613" s="36" t="s">
        <v>1086</v>
      </c>
      <c r="G1613" s="36" t="s">
        <v>244</v>
      </c>
      <c r="H1613" s="36">
        <v>1</v>
      </c>
    </row>
    <row r="1614" spans="1:8" ht="12.75" customHeight="1" x14ac:dyDescent="0.3">
      <c r="A1614" s="36">
        <v>6304</v>
      </c>
      <c r="B1614" s="36">
        <v>20020094091</v>
      </c>
      <c r="C1614" s="36" t="s">
        <v>2250</v>
      </c>
      <c r="D1614" s="36" t="s">
        <v>1750</v>
      </c>
      <c r="E1614" s="36" t="s">
        <v>2983</v>
      </c>
      <c r="F1614" s="36" t="s">
        <v>1086</v>
      </c>
      <c r="G1614" s="36" t="s">
        <v>244</v>
      </c>
      <c r="H1614" s="36">
        <v>1</v>
      </c>
    </row>
    <row r="1615" spans="1:8" ht="12.75" customHeight="1" x14ac:dyDescent="0.3">
      <c r="A1615" s="36">
        <v>6305</v>
      </c>
      <c r="B1615" s="36">
        <v>20001104092</v>
      </c>
      <c r="C1615" s="36" t="s">
        <v>1827</v>
      </c>
      <c r="D1615" s="36" t="s">
        <v>1399</v>
      </c>
      <c r="E1615" s="36" t="s">
        <v>1745</v>
      </c>
      <c r="F1615" s="36" t="s">
        <v>1086</v>
      </c>
      <c r="G1615" s="36" t="s">
        <v>213</v>
      </c>
      <c r="H1615" s="36">
        <v>1</v>
      </c>
    </row>
    <row r="1616" spans="1:8" ht="12.75" customHeight="1" x14ac:dyDescent="0.3">
      <c r="A1616" s="36">
        <v>6307</v>
      </c>
      <c r="B1616" s="36">
        <v>20022001113</v>
      </c>
      <c r="C1616" s="36" t="s">
        <v>1044</v>
      </c>
      <c r="D1616" s="36" t="s">
        <v>1625</v>
      </c>
      <c r="E1616" s="36" t="s">
        <v>2100</v>
      </c>
      <c r="F1616" s="36" t="s">
        <v>1086</v>
      </c>
      <c r="G1616" s="36" t="s">
        <v>213</v>
      </c>
      <c r="H1616" s="36">
        <v>1</v>
      </c>
    </row>
    <row r="1617" spans="1:8" ht="12.75" customHeight="1" x14ac:dyDescent="0.3">
      <c r="A1617" s="36">
        <v>6311</v>
      </c>
      <c r="B1617" s="36">
        <v>20001054089</v>
      </c>
      <c r="C1617" s="36" t="s">
        <v>1619</v>
      </c>
      <c r="D1617" s="36" t="s">
        <v>1501</v>
      </c>
      <c r="E1617" s="36" t="s">
        <v>3428</v>
      </c>
      <c r="F1617" s="36" t="s">
        <v>1086</v>
      </c>
      <c r="G1617" s="36" t="s">
        <v>244</v>
      </c>
      <c r="H1617" s="36">
        <v>1</v>
      </c>
    </row>
    <row r="1618" spans="1:8" ht="12.75" customHeight="1" x14ac:dyDescent="0.3">
      <c r="A1618" s="36">
        <v>6314</v>
      </c>
      <c r="B1618" s="36">
        <v>20001054089</v>
      </c>
      <c r="C1618" s="36" t="s">
        <v>649</v>
      </c>
      <c r="D1618" s="36" t="s">
        <v>1610</v>
      </c>
      <c r="E1618" s="36" t="s">
        <v>3428</v>
      </c>
      <c r="F1618" s="36" t="s">
        <v>1086</v>
      </c>
      <c r="G1618" s="36" t="s">
        <v>244</v>
      </c>
      <c r="H1618" s="36">
        <v>1</v>
      </c>
    </row>
    <row r="1619" spans="1:8" ht="12.75" customHeight="1" x14ac:dyDescent="0.3">
      <c r="A1619" s="36">
        <v>6328</v>
      </c>
      <c r="B1619" s="36">
        <v>20001290018</v>
      </c>
      <c r="C1619" s="36" t="s">
        <v>615</v>
      </c>
      <c r="D1619" s="36" t="s">
        <v>1142</v>
      </c>
      <c r="E1619" s="36" t="s">
        <v>1936</v>
      </c>
      <c r="F1619" s="36" t="s">
        <v>618</v>
      </c>
      <c r="G1619" s="36" t="s">
        <v>213</v>
      </c>
      <c r="H1619" s="36">
        <v>1</v>
      </c>
    </row>
    <row r="1620" spans="1:8" ht="12.75" customHeight="1" x14ac:dyDescent="0.3">
      <c r="A1620" s="36">
        <v>6330</v>
      </c>
      <c r="B1620" s="36">
        <v>20001102068</v>
      </c>
      <c r="C1620" s="36" t="s">
        <v>2441</v>
      </c>
      <c r="D1620" s="36" t="s">
        <v>2911</v>
      </c>
      <c r="E1620" s="36" t="s">
        <v>1718</v>
      </c>
      <c r="F1620" s="36" t="s">
        <v>628</v>
      </c>
      <c r="G1620" s="36" t="s">
        <v>244</v>
      </c>
      <c r="H1620" s="36">
        <v>1</v>
      </c>
    </row>
    <row r="1621" spans="1:8" ht="12.75" customHeight="1" x14ac:dyDescent="0.3">
      <c r="A1621" s="36">
        <v>6333</v>
      </c>
      <c r="B1621" s="36">
        <v>20020092067</v>
      </c>
      <c r="C1621" s="36" t="s">
        <v>1721</v>
      </c>
      <c r="D1621" s="36" t="s">
        <v>2239</v>
      </c>
      <c r="E1621" s="36" t="s">
        <v>2237</v>
      </c>
      <c r="F1621" s="36" t="s">
        <v>628</v>
      </c>
      <c r="G1621" s="36" t="s">
        <v>213</v>
      </c>
      <c r="H1621" s="36">
        <v>1</v>
      </c>
    </row>
    <row r="1622" spans="1:8" ht="12.75" customHeight="1" x14ac:dyDescent="0.3">
      <c r="A1622" s="36">
        <v>6334</v>
      </c>
      <c r="B1622" s="36">
        <v>20020092067</v>
      </c>
      <c r="C1622" s="36" t="s">
        <v>1721</v>
      </c>
      <c r="D1622" s="36" t="s">
        <v>2238</v>
      </c>
      <c r="E1622" s="36" t="s">
        <v>2237</v>
      </c>
      <c r="F1622" s="36" t="s">
        <v>628</v>
      </c>
      <c r="G1622" s="36" t="s">
        <v>213</v>
      </c>
      <c r="H1622" s="36">
        <v>1</v>
      </c>
    </row>
    <row r="1623" spans="1:8" ht="12.75" customHeight="1" x14ac:dyDescent="0.3">
      <c r="A1623" s="36">
        <v>6335</v>
      </c>
      <c r="B1623" s="36">
        <v>20020112073</v>
      </c>
      <c r="C1623" s="36" t="s">
        <v>1721</v>
      </c>
      <c r="D1623" s="36" t="s">
        <v>2261</v>
      </c>
      <c r="E1623" s="36" t="s">
        <v>2262</v>
      </c>
      <c r="F1623" s="36" t="s">
        <v>628</v>
      </c>
      <c r="G1623" s="36" t="s">
        <v>213</v>
      </c>
      <c r="H1623" s="36">
        <v>1</v>
      </c>
    </row>
    <row r="1624" spans="1:8" ht="12.75" customHeight="1" x14ac:dyDescent="0.3">
      <c r="A1624" s="36">
        <v>6337</v>
      </c>
      <c r="B1624" s="36">
        <v>20001102068</v>
      </c>
      <c r="C1624" s="36" t="s">
        <v>1723</v>
      </c>
      <c r="D1624" s="36" t="s">
        <v>934</v>
      </c>
      <c r="E1624" s="36" t="s">
        <v>1724</v>
      </c>
      <c r="F1624" s="36" t="s">
        <v>628</v>
      </c>
      <c r="G1624" s="36" t="s">
        <v>213</v>
      </c>
      <c r="H1624" s="36">
        <v>1</v>
      </c>
    </row>
    <row r="1625" spans="1:8" ht="12.75" customHeight="1" x14ac:dyDescent="0.3">
      <c r="A1625" s="36">
        <v>6338</v>
      </c>
      <c r="B1625" s="36">
        <v>20001102068</v>
      </c>
      <c r="C1625" s="36" t="s">
        <v>1725</v>
      </c>
      <c r="D1625" s="36" t="s">
        <v>1474</v>
      </c>
      <c r="E1625" s="36" t="s">
        <v>663</v>
      </c>
      <c r="F1625" s="36" t="s">
        <v>628</v>
      </c>
      <c r="G1625" s="36" t="s">
        <v>213</v>
      </c>
      <c r="H1625" s="36">
        <v>1</v>
      </c>
    </row>
    <row r="1626" spans="1:8" ht="12.75" customHeight="1" x14ac:dyDescent="0.3">
      <c r="A1626" s="36">
        <v>6339</v>
      </c>
      <c r="B1626" s="36">
        <v>20001102068</v>
      </c>
      <c r="C1626" s="36" t="s">
        <v>1727</v>
      </c>
      <c r="D1626" s="36" t="s">
        <v>1728</v>
      </c>
      <c r="E1626" s="36" t="s">
        <v>1025</v>
      </c>
      <c r="F1626" s="36" t="s">
        <v>628</v>
      </c>
      <c r="G1626" s="36" t="s">
        <v>213</v>
      </c>
      <c r="H1626" s="36">
        <v>1</v>
      </c>
    </row>
    <row r="1627" spans="1:8" ht="12.75" customHeight="1" x14ac:dyDescent="0.3">
      <c r="A1627" s="36">
        <v>6342</v>
      </c>
      <c r="B1627" s="36">
        <v>20001260017</v>
      </c>
      <c r="C1627" s="36" t="s">
        <v>1896</v>
      </c>
      <c r="D1627" s="36" t="s">
        <v>1897</v>
      </c>
      <c r="E1627" s="36" t="s">
        <v>1898</v>
      </c>
      <c r="F1627" s="36" t="s">
        <v>618</v>
      </c>
      <c r="G1627" s="36" t="s">
        <v>213</v>
      </c>
      <c r="H1627" s="36">
        <v>1</v>
      </c>
    </row>
    <row r="1628" spans="1:8" ht="12.75" customHeight="1" x14ac:dyDescent="0.3">
      <c r="A1628" s="36">
        <v>6343</v>
      </c>
      <c r="B1628" s="36">
        <v>20000920001</v>
      </c>
      <c r="C1628" s="36" t="s">
        <v>1294</v>
      </c>
      <c r="D1628" s="36" t="s">
        <v>1295</v>
      </c>
      <c r="E1628" s="36" t="s">
        <v>1296</v>
      </c>
      <c r="F1628" s="36" t="s">
        <v>628</v>
      </c>
      <c r="G1628" s="36" t="s">
        <v>213</v>
      </c>
      <c r="H1628" s="36">
        <v>1</v>
      </c>
    </row>
    <row r="1629" spans="1:8" ht="12.75" customHeight="1" x14ac:dyDescent="0.3">
      <c r="A1629" s="36">
        <v>6347</v>
      </c>
      <c r="B1629" s="36">
        <v>20001102068</v>
      </c>
      <c r="C1629" s="36" t="s">
        <v>1731</v>
      </c>
      <c r="D1629" s="36" t="s">
        <v>846</v>
      </c>
      <c r="E1629" s="36" t="s">
        <v>1642</v>
      </c>
      <c r="F1629" s="36" t="s">
        <v>628</v>
      </c>
      <c r="G1629" s="36" t="s">
        <v>213</v>
      </c>
      <c r="H1629" s="36">
        <v>1</v>
      </c>
    </row>
    <row r="1630" spans="1:8" ht="12.75" customHeight="1" x14ac:dyDescent="0.3">
      <c r="A1630" s="36">
        <v>6348</v>
      </c>
      <c r="B1630" s="36">
        <v>20000920001</v>
      </c>
      <c r="C1630" s="36" t="s">
        <v>1288</v>
      </c>
      <c r="D1630" s="36" t="s">
        <v>1289</v>
      </c>
      <c r="E1630" s="36" t="s">
        <v>1290</v>
      </c>
      <c r="F1630" s="36" t="s">
        <v>628</v>
      </c>
      <c r="G1630" s="36" t="s">
        <v>244</v>
      </c>
      <c r="H1630" s="36">
        <v>1</v>
      </c>
    </row>
    <row r="1631" spans="1:8" ht="12.75" customHeight="1" x14ac:dyDescent="0.3">
      <c r="A1631" s="36">
        <v>6351</v>
      </c>
      <c r="B1631" s="36">
        <v>20000550020</v>
      </c>
      <c r="C1631" s="36" t="s">
        <v>1015</v>
      </c>
      <c r="D1631" s="36" t="s">
        <v>1016</v>
      </c>
      <c r="E1631" s="36" t="s">
        <v>1017</v>
      </c>
      <c r="F1631" s="36" t="s">
        <v>628</v>
      </c>
      <c r="G1631" s="36" t="s">
        <v>244</v>
      </c>
      <c r="H1631" s="36">
        <v>1</v>
      </c>
    </row>
    <row r="1632" spans="1:8" ht="12.75" customHeight="1" x14ac:dyDescent="0.3">
      <c r="A1632" s="36">
        <v>6354</v>
      </c>
      <c r="B1632" s="36">
        <v>20022001102</v>
      </c>
      <c r="C1632" s="36" t="s">
        <v>2307</v>
      </c>
      <c r="D1632" s="36" t="s">
        <v>2308</v>
      </c>
      <c r="E1632" s="36" t="s">
        <v>2100</v>
      </c>
      <c r="F1632" s="36" t="s">
        <v>628</v>
      </c>
      <c r="G1632" s="36" t="s">
        <v>244</v>
      </c>
      <c r="H1632" s="36">
        <v>0.5</v>
      </c>
    </row>
    <row r="1633" spans="1:8" ht="12.75" customHeight="1" x14ac:dyDescent="0.3">
      <c r="A1633" s="36">
        <v>6357</v>
      </c>
      <c r="B1633" s="36">
        <v>20001290018</v>
      </c>
      <c r="C1633" s="36" t="s">
        <v>1940</v>
      </c>
      <c r="D1633" s="36" t="s">
        <v>1941</v>
      </c>
      <c r="E1633" s="36" t="s">
        <v>3292</v>
      </c>
      <c r="F1633" s="36" t="s">
        <v>618</v>
      </c>
      <c r="G1633" s="36" t="s">
        <v>213</v>
      </c>
      <c r="H1633" s="36">
        <v>1</v>
      </c>
    </row>
    <row r="1634" spans="1:8" ht="12.75" customHeight="1" x14ac:dyDescent="0.3">
      <c r="A1634" s="36">
        <v>6358</v>
      </c>
      <c r="B1634" s="36">
        <v>20001102068</v>
      </c>
      <c r="C1634" s="36" t="s">
        <v>1271</v>
      </c>
      <c r="D1634" s="36" t="s">
        <v>1738</v>
      </c>
      <c r="E1634" s="36" t="s">
        <v>1720</v>
      </c>
      <c r="F1634" s="36" t="s">
        <v>628</v>
      </c>
      <c r="G1634" s="36" t="s">
        <v>244</v>
      </c>
      <c r="H1634" s="36">
        <v>1</v>
      </c>
    </row>
    <row r="1635" spans="1:8" ht="12.75" customHeight="1" x14ac:dyDescent="0.3">
      <c r="A1635" s="36">
        <v>6359</v>
      </c>
      <c r="B1635" s="36">
        <v>20000830030</v>
      </c>
      <c r="C1635" s="36" t="s">
        <v>1271</v>
      </c>
      <c r="D1635" s="36" t="s">
        <v>1272</v>
      </c>
      <c r="E1635" s="36" t="s">
        <v>3492</v>
      </c>
      <c r="F1635" s="36" t="s">
        <v>628</v>
      </c>
      <c r="G1635" s="36" t="s">
        <v>244</v>
      </c>
      <c r="H1635" s="36">
        <v>1</v>
      </c>
    </row>
    <row r="1636" spans="1:8" ht="12.75" customHeight="1" x14ac:dyDescent="0.3">
      <c r="A1636" s="36">
        <v>6363</v>
      </c>
      <c r="B1636" s="36">
        <v>20001102068</v>
      </c>
      <c r="C1636" s="36" t="s">
        <v>1739</v>
      </c>
      <c r="D1636" s="36" t="s">
        <v>1740</v>
      </c>
      <c r="E1636" s="36" t="s">
        <v>663</v>
      </c>
      <c r="F1636" s="36" t="s">
        <v>628</v>
      </c>
      <c r="G1636" s="36" t="s">
        <v>213</v>
      </c>
      <c r="H1636" s="36">
        <v>1</v>
      </c>
    </row>
    <row r="1637" spans="1:8" ht="12.75" customHeight="1" x14ac:dyDescent="0.3">
      <c r="A1637" s="36">
        <v>6371</v>
      </c>
      <c r="B1637" s="36">
        <v>20001290018</v>
      </c>
      <c r="C1637" s="36" t="s">
        <v>1743</v>
      </c>
      <c r="D1637" s="36" t="s">
        <v>828</v>
      </c>
      <c r="E1637" s="36" t="s">
        <v>1942</v>
      </c>
      <c r="F1637" s="36" t="s">
        <v>628</v>
      </c>
      <c r="G1637" s="36" t="s">
        <v>244</v>
      </c>
      <c r="H1637" s="36">
        <v>1</v>
      </c>
    </row>
    <row r="1638" spans="1:8" ht="12.75" customHeight="1" x14ac:dyDescent="0.3">
      <c r="A1638" s="36">
        <v>6372</v>
      </c>
      <c r="B1638" s="36">
        <v>20001140004</v>
      </c>
      <c r="C1638" s="36" t="s">
        <v>1744</v>
      </c>
      <c r="D1638" s="36" t="s">
        <v>1154</v>
      </c>
      <c r="E1638" s="36" t="s">
        <v>1878</v>
      </c>
      <c r="F1638" s="36" t="s">
        <v>628</v>
      </c>
      <c r="G1638" s="36" t="s">
        <v>145</v>
      </c>
      <c r="H1638" s="36">
        <v>1</v>
      </c>
    </row>
    <row r="1639" spans="1:8" ht="12.75" customHeight="1" x14ac:dyDescent="0.3">
      <c r="A1639" s="36">
        <v>6373</v>
      </c>
      <c r="B1639" s="36">
        <v>20020120015</v>
      </c>
      <c r="C1639" s="36" t="s">
        <v>636</v>
      </c>
      <c r="D1639" s="36" t="s">
        <v>901</v>
      </c>
      <c r="E1639" s="36" t="s">
        <v>2280</v>
      </c>
      <c r="F1639" s="36" t="s">
        <v>618</v>
      </c>
      <c r="G1639" s="36" t="s">
        <v>213</v>
      </c>
      <c r="H1639" s="36">
        <v>1</v>
      </c>
    </row>
    <row r="1640" spans="1:8" ht="12.75" customHeight="1" x14ac:dyDescent="0.3">
      <c r="A1640" s="36">
        <v>6375</v>
      </c>
      <c r="B1640" s="36">
        <v>20022001102</v>
      </c>
      <c r="C1640" s="36" t="s">
        <v>2309</v>
      </c>
      <c r="D1640" s="36" t="s">
        <v>2310</v>
      </c>
      <c r="E1640" s="36" t="s">
        <v>2100</v>
      </c>
      <c r="F1640" s="36" t="s">
        <v>628</v>
      </c>
      <c r="G1640" s="36" t="s">
        <v>213</v>
      </c>
      <c r="H1640" s="36">
        <v>1</v>
      </c>
    </row>
    <row r="1641" spans="1:8" ht="12.75" customHeight="1" x14ac:dyDescent="0.3">
      <c r="A1641" s="36">
        <v>6377</v>
      </c>
      <c r="B1641" s="36">
        <v>20009001108</v>
      </c>
      <c r="C1641" s="36" t="s">
        <v>2061</v>
      </c>
      <c r="D1641" s="36" t="s">
        <v>752</v>
      </c>
      <c r="E1641" s="36" t="s">
        <v>1993</v>
      </c>
      <c r="F1641" s="36" t="s">
        <v>628</v>
      </c>
      <c r="G1641" s="36" t="s">
        <v>213</v>
      </c>
      <c r="H1641" s="36">
        <v>1</v>
      </c>
    </row>
    <row r="1642" spans="1:8" ht="12.75" customHeight="1" x14ac:dyDescent="0.3">
      <c r="A1642" s="36">
        <v>6379</v>
      </c>
      <c r="B1642" s="36">
        <v>20001102068</v>
      </c>
      <c r="C1642" s="36" t="s">
        <v>1751</v>
      </c>
      <c r="D1642" s="36" t="s">
        <v>1752</v>
      </c>
      <c r="E1642" s="36" t="s">
        <v>1642</v>
      </c>
      <c r="F1642" s="36" t="s">
        <v>628</v>
      </c>
      <c r="G1642" s="36" t="s">
        <v>213</v>
      </c>
      <c r="H1642" s="36">
        <v>1</v>
      </c>
    </row>
    <row r="1643" spans="1:8" ht="12.75" customHeight="1" x14ac:dyDescent="0.3">
      <c r="A1643" s="36">
        <v>6380</v>
      </c>
      <c r="B1643" s="36">
        <v>20001102068</v>
      </c>
      <c r="C1643" s="36" t="s">
        <v>1755</v>
      </c>
      <c r="D1643" s="36" t="s">
        <v>1756</v>
      </c>
      <c r="E1643" s="36" t="s">
        <v>1639</v>
      </c>
      <c r="F1643" s="36" t="s">
        <v>628</v>
      </c>
      <c r="G1643" s="36" t="s">
        <v>244</v>
      </c>
      <c r="H1643" s="36">
        <v>1</v>
      </c>
    </row>
    <row r="1644" spans="1:8" ht="12.75" customHeight="1" x14ac:dyDescent="0.3">
      <c r="A1644" s="36">
        <v>6381</v>
      </c>
      <c r="B1644" s="36">
        <v>20019110095</v>
      </c>
      <c r="C1644" s="36" t="s">
        <v>2189</v>
      </c>
      <c r="D1644" s="36" t="s">
        <v>2190</v>
      </c>
      <c r="E1644" s="36" t="s">
        <v>2191</v>
      </c>
      <c r="F1644" s="36" t="s">
        <v>628</v>
      </c>
      <c r="G1644" s="36" t="s">
        <v>213</v>
      </c>
      <c r="H1644" s="36">
        <v>1</v>
      </c>
    </row>
    <row r="1645" spans="1:8" ht="12.75" customHeight="1" x14ac:dyDescent="0.3">
      <c r="A1645" s="36">
        <v>6382</v>
      </c>
      <c r="B1645" s="36">
        <v>20001102068</v>
      </c>
      <c r="C1645" s="36" t="s">
        <v>1757</v>
      </c>
      <c r="D1645" s="36" t="s">
        <v>1758</v>
      </c>
      <c r="E1645" s="36" t="s">
        <v>1642</v>
      </c>
      <c r="F1645" s="36" t="s">
        <v>628</v>
      </c>
      <c r="G1645" s="36" t="s">
        <v>145</v>
      </c>
      <c r="H1645" s="36">
        <v>1</v>
      </c>
    </row>
    <row r="1646" spans="1:8" ht="12.75" customHeight="1" x14ac:dyDescent="0.3">
      <c r="A1646" s="36">
        <v>6385</v>
      </c>
      <c r="B1646" s="36">
        <v>20001102068</v>
      </c>
      <c r="C1646" s="36" t="s">
        <v>1760</v>
      </c>
      <c r="D1646" s="36" t="s">
        <v>1761</v>
      </c>
      <c r="E1646" s="36" t="s">
        <v>2939</v>
      </c>
      <c r="F1646" s="36" t="s">
        <v>628</v>
      </c>
      <c r="G1646" s="36" t="s">
        <v>244</v>
      </c>
      <c r="H1646" s="36">
        <v>1</v>
      </c>
    </row>
    <row r="1647" spans="1:8" ht="12.75" customHeight="1" x14ac:dyDescent="0.3">
      <c r="A1647" s="36">
        <v>6386</v>
      </c>
      <c r="B1647" s="36">
        <v>20061110033</v>
      </c>
      <c r="C1647" s="36" t="s">
        <v>694</v>
      </c>
      <c r="D1647" s="36" t="s">
        <v>2119</v>
      </c>
      <c r="E1647" s="36" t="s">
        <v>3121</v>
      </c>
      <c r="F1647" s="36" t="s">
        <v>628</v>
      </c>
      <c r="G1647" s="36" t="s">
        <v>213</v>
      </c>
      <c r="H1647" s="36">
        <v>1</v>
      </c>
    </row>
    <row r="1648" spans="1:8" ht="12.75" customHeight="1" x14ac:dyDescent="0.3">
      <c r="A1648" s="36">
        <v>6388</v>
      </c>
      <c r="B1648" s="36">
        <v>20020120015</v>
      </c>
      <c r="C1648" s="36" t="s">
        <v>2284</v>
      </c>
      <c r="D1648" s="36" t="s">
        <v>2285</v>
      </c>
      <c r="E1648" s="36" t="s">
        <v>2237</v>
      </c>
      <c r="F1648" s="36" t="s">
        <v>628</v>
      </c>
      <c r="G1648" s="36" t="s">
        <v>213</v>
      </c>
      <c r="H1648" s="36">
        <v>1</v>
      </c>
    </row>
    <row r="1649" spans="1:8" ht="12.75" customHeight="1" x14ac:dyDescent="0.3">
      <c r="A1649" s="36">
        <v>6394</v>
      </c>
      <c r="B1649" s="36">
        <v>20001102074</v>
      </c>
      <c r="C1649" s="36" t="s">
        <v>1527</v>
      </c>
      <c r="D1649" s="36" t="s">
        <v>1774</v>
      </c>
      <c r="E1649" s="36" t="s">
        <v>1775</v>
      </c>
      <c r="F1649" s="36" t="s">
        <v>628</v>
      </c>
      <c r="G1649" s="36" t="s">
        <v>244</v>
      </c>
      <c r="H1649" s="36">
        <v>1</v>
      </c>
    </row>
    <row r="1650" spans="1:8" ht="12.75" customHeight="1" x14ac:dyDescent="0.3">
      <c r="A1650" s="36">
        <v>6399</v>
      </c>
      <c r="B1650" s="36">
        <v>20001102068</v>
      </c>
      <c r="C1650" s="36" t="s">
        <v>1732</v>
      </c>
      <c r="D1650" s="36" t="s">
        <v>1042</v>
      </c>
      <c r="E1650" s="36" t="s">
        <v>1642</v>
      </c>
      <c r="F1650" s="36" t="s">
        <v>628</v>
      </c>
      <c r="G1650" s="36" t="s">
        <v>213</v>
      </c>
      <c r="H1650" s="36">
        <v>1</v>
      </c>
    </row>
    <row r="1651" spans="1:8" ht="12.75" customHeight="1" x14ac:dyDescent="0.3">
      <c r="A1651" s="36">
        <v>6402</v>
      </c>
      <c r="B1651" s="36">
        <v>20001100108</v>
      </c>
      <c r="C1651" s="36" t="s">
        <v>1700</v>
      </c>
      <c r="D1651" s="36" t="s">
        <v>695</v>
      </c>
      <c r="E1651" s="36" t="s">
        <v>1772</v>
      </c>
      <c r="F1651" s="36" t="s">
        <v>1428</v>
      </c>
      <c r="G1651" s="36" t="s">
        <v>213</v>
      </c>
      <c r="H1651" s="36">
        <v>1</v>
      </c>
    </row>
    <row r="1652" spans="1:8" ht="12.75" customHeight="1" x14ac:dyDescent="0.3">
      <c r="A1652" s="36">
        <v>6406</v>
      </c>
      <c r="B1652" s="36">
        <v>20009001108</v>
      </c>
      <c r="C1652" s="36" t="s">
        <v>2053</v>
      </c>
      <c r="D1652" s="36" t="s">
        <v>668</v>
      </c>
      <c r="E1652" s="36" t="s">
        <v>1970</v>
      </c>
      <c r="F1652" s="36" t="s">
        <v>628</v>
      </c>
      <c r="G1652" s="36" t="s">
        <v>213</v>
      </c>
      <c r="H1652" s="36">
        <v>1</v>
      </c>
    </row>
    <row r="1653" spans="1:8" ht="12.75" customHeight="1" x14ac:dyDescent="0.3">
      <c r="A1653" s="36">
        <v>6407</v>
      </c>
      <c r="B1653" s="36">
        <v>20019110095</v>
      </c>
      <c r="C1653" s="36" t="s">
        <v>1018</v>
      </c>
      <c r="D1653" s="36" t="s">
        <v>2183</v>
      </c>
      <c r="E1653" s="36" t="s">
        <v>2184</v>
      </c>
      <c r="F1653" s="36" t="s">
        <v>628</v>
      </c>
      <c r="G1653" s="36" t="s">
        <v>244</v>
      </c>
      <c r="H1653" s="36">
        <v>1</v>
      </c>
    </row>
    <row r="1654" spans="1:8" ht="12.75" customHeight="1" x14ac:dyDescent="0.3">
      <c r="A1654" s="36">
        <v>6437</v>
      </c>
      <c r="B1654" s="36">
        <v>20001052061</v>
      </c>
      <c r="C1654" s="36" t="s">
        <v>1445</v>
      </c>
      <c r="D1654" s="36" t="s">
        <v>844</v>
      </c>
      <c r="E1654" s="36" t="s">
        <v>1326</v>
      </c>
      <c r="F1654" s="36" t="s">
        <v>1441</v>
      </c>
      <c r="G1654" s="36" t="s">
        <v>244</v>
      </c>
      <c r="H1654" s="36">
        <v>1</v>
      </c>
    </row>
    <row r="1655" spans="1:8" ht="12.75" customHeight="1" x14ac:dyDescent="0.3">
      <c r="A1655" s="36">
        <v>9001</v>
      </c>
      <c r="B1655" s="36">
        <v>20000330011</v>
      </c>
      <c r="C1655" s="36" t="s">
        <v>893</v>
      </c>
      <c r="D1655" s="36" t="s">
        <v>894</v>
      </c>
      <c r="E1655" s="36" t="s">
        <v>663</v>
      </c>
      <c r="F1655" s="36" t="s">
        <v>742</v>
      </c>
      <c r="G1655" s="36" t="s">
        <v>213</v>
      </c>
      <c r="H1655" s="36">
        <v>1</v>
      </c>
    </row>
    <row r="1656" spans="1:8" ht="12.75" customHeight="1" x14ac:dyDescent="0.3">
      <c r="A1656" s="36">
        <v>9002</v>
      </c>
      <c r="B1656" s="36">
        <v>20000330011</v>
      </c>
      <c r="C1656" s="36" t="s">
        <v>891</v>
      </c>
      <c r="D1656" s="36" t="s">
        <v>892</v>
      </c>
      <c r="E1656" s="36" t="s">
        <v>663</v>
      </c>
      <c r="F1656" s="36" t="s">
        <v>742</v>
      </c>
      <c r="G1656" s="36" t="s">
        <v>213</v>
      </c>
      <c r="H1656" s="36">
        <v>1</v>
      </c>
    </row>
    <row r="1657" spans="1:8" ht="12.75" customHeight="1" x14ac:dyDescent="0.3">
      <c r="A1657" s="36">
        <v>9003</v>
      </c>
      <c r="B1657" s="36">
        <v>20000330011</v>
      </c>
      <c r="C1657" s="36" t="s">
        <v>895</v>
      </c>
      <c r="D1657" s="36" t="s">
        <v>844</v>
      </c>
      <c r="E1657" s="36" t="s">
        <v>713</v>
      </c>
      <c r="F1657" s="36" t="s">
        <v>742</v>
      </c>
      <c r="G1657" s="36" t="s">
        <v>213</v>
      </c>
      <c r="H1657" s="36">
        <v>1</v>
      </c>
    </row>
    <row r="1658" spans="1:8" ht="12.75" customHeight="1" x14ac:dyDescent="0.3">
      <c r="A1658" s="36">
        <v>9004</v>
      </c>
      <c r="B1658" s="36">
        <v>20001101056</v>
      </c>
      <c r="C1658" s="36" t="s">
        <v>1679</v>
      </c>
      <c r="D1658" s="36" t="s">
        <v>1164</v>
      </c>
      <c r="E1658" s="36" t="s">
        <v>713</v>
      </c>
      <c r="F1658" s="36" t="s">
        <v>742</v>
      </c>
      <c r="G1658" s="36" t="s">
        <v>213</v>
      </c>
      <c r="H1658" s="36">
        <v>1</v>
      </c>
    </row>
    <row r="1659" spans="1:8" ht="12.75" customHeight="1" x14ac:dyDescent="0.3">
      <c r="A1659" s="36">
        <v>9005</v>
      </c>
      <c r="B1659" s="36">
        <v>20000310011</v>
      </c>
      <c r="C1659" s="36" t="s">
        <v>933</v>
      </c>
      <c r="D1659" s="36" t="s">
        <v>916</v>
      </c>
      <c r="E1659" s="36" t="s">
        <v>713</v>
      </c>
      <c r="F1659" s="36" t="s">
        <v>742</v>
      </c>
      <c r="G1659" s="36" t="s">
        <v>213</v>
      </c>
      <c r="H1659" s="36">
        <v>1</v>
      </c>
    </row>
    <row r="1660" spans="1:8" ht="12.75" customHeight="1" x14ac:dyDescent="0.3">
      <c r="A1660" s="36">
        <v>9009</v>
      </c>
      <c r="B1660" s="36">
        <v>20000310011</v>
      </c>
      <c r="C1660" s="36" t="s">
        <v>743</v>
      </c>
      <c r="D1660" s="36" t="s">
        <v>744</v>
      </c>
      <c r="E1660" s="36" t="s">
        <v>663</v>
      </c>
      <c r="F1660" s="36" t="s">
        <v>742</v>
      </c>
      <c r="G1660" s="36" t="s">
        <v>213</v>
      </c>
      <c r="H1660" s="36">
        <v>1</v>
      </c>
    </row>
    <row r="1661" spans="1:8" ht="12.75" customHeight="1" x14ac:dyDescent="0.3">
      <c r="A1661" s="36">
        <v>9011</v>
      </c>
      <c r="B1661" s="36">
        <v>20000340011</v>
      </c>
      <c r="C1661" s="36" t="s">
        <v>740</v>
      </c>
      <c r="D1661" s="36" t="s">
        <v>741</v>
      </c>
      <c r="E1661" s="36" t="s">
        <v>663</v>
      </c>
      <c r="F1661" s="36" t="s">
        <v>742</v>
      </c>
      <c r="G1661" s="36" t="s">
        <v>213</v>
      </c>
      <c r="H1661" s="36">
        <v>1</v>
      </c>
    </row>
    <row r="1662" spans="1:8" ht="12.75" customHeight="1" x14ac:dyDescent="0.3">
      <c r="A1662" s="36">
        <v>9015</v>
      </c>
      <c r="B1662" s="36">
        <v>20000350011</v>
      </c>
      <c r="C1662" s="36" t="s">
        <v>938</v>
      </c>
      <c r="D1662" s="36" t="s">
        <v>675</v>
      </c>
      <c r="E1662" s="36" t="s">
        <v>663</v>
      </c>
      <c r="F1662" s="36" t="s">
        <v>742</v>
      </c>
      <c r="G1662" s="36" t="s">
        <v>213</v>
      </c>
      <c r="H1662" s="36">
        <v>1</v>
      </c>
    </row>
    <row r="1663" spans="1:8" ht="12.75" customHeight="1" x14ac:dyDescent="0.3">
      <c r="A1663" s="36">
        <v>9028</v>
      </c>
      <c r="B1663" s="36">
        <v>20000330011</v>
      </c>
      <c r="C1663" s="36" t="s">
        <v>765</v>
      </c>
      <c r="D1663" s="36" t="s">
        <v>766</v>
      </c>
      <c r="E1663" s="36" t="s">
        <v>663</v>
      </c>
      <c r="F1663" s="36" t="s">
        <v>742</v>
      </c>
      <c r="G1663" s="36" t="s">
        <v>213</v>
      </c>
      <c r="H1663" s="36">
        <v>1</v>
      </c>
    </row>
    <row r="1664" spans="1:8" ht="12.75" customHeight="1" x14ac:dyDescent="0.3">
      <c r="A1664" s="36">
        <v>9030</v>
      </c>
      <c r="B1664" s="36">
        <v>20000330011</v>
      </c>
      <c r="C1664" s="36" t="s">
        <v>889</v>
      </c>
      <c r="D1664" s="36" t="s">
        <v>890</v>
      </c>
      <c r="E1664" s="36" t="s">
        <v>663</v>
      </c>
      <c r="F1664" s="36" t="s">
        <v>742</v>
      </c>
      <c r="G1664" s="36" t="s">
        <v>213</v>
      </c>
      <c r="H1664" s="36">
        <v>1</v>
      </c>
    </row>
    <row r="1665" spans="1:8" ht="12.75" customHeight="1" x14ac:dyDescent="0.3">
      <c r="A1665" s="36">
        <v>9031</v>
      </c>
      <c r="B1665" s="36">
        <v>20000310011</v>
      </c>
      <c r="C1665" s="36" t="s">
        <v>751</v>
      </c>
      <c r="D1665" s="36" t="s">
        <v>752</v>
      </c>
      <c r="E1665" s="36" t="s">
        <v>713</v>
      </c>
      <c r="F1665" s="36" t="s">
        <v>742</v>
      </c>
      <c r="G1665" s="36" t="s">
        <v>244</v>
      </c>
      <c r="H1665" s="36">
        <v>1</v>
      </c>
    </row>
    <row r="1666" spans="1:8" ht="12.75" customHeight="1" x14ac:dyDescent="0.3">
      <c r="A1666" s="36">
        <v>9033</v>
      </c>
      <c r="B1666" s="36">
        <v>20000310011</v>
      </c>
      <c r="C1666" s="36" t="s">
        <v>747</v>
      </c>
      <c r="D1666" s="36" t="s">
        <v>748</v>
      </c>
      <c r="E1666" s="36" t="s">
        <v>663</v>
      </c>
      <c r="F1666" s="36" t="s">
        <v>742</v>
      </c>
      <c r="G1666" s="36" t="s">
        <v>244</v>
      </c>
      <c r="H1666" s="36">
        <v>1</v>
      </c>
    </row>
    <row r="1667" spans="1:8" ht="12.75" customHeight="1" x14ac:dyDescent="0.3">
      <c r="A1667" s="36">
        <v>9035</v>
      </c>
      <c r="B1667" s="36">
        <v>20000310011</v>
      </c>
      <c r="C1667" s="36" t="s">
        <v>769</v>
      </c>
      <c r="D1667" s="36" t="s">
        <v>770</v>
      </c>
      <c r="E1667" s="36" t="s">
        <v>663</v>
      </c>
      <c r="F1667" s="36" t="s">
        <v>742</v>
      </c>
      <c r="G1667" s="36" t="s">
        <v>213</v>
      </c>
      <c r="H1667" s="36">
        <v>1</v>
      </c>
    </row>
    <row r="1668" spans="1:8" ht="12.75" customHeight="1" x14ac:dyDescent="0.3">
      <c r="A1668" s="36">
        <v>9039</v>
      </c>
      <c r="B1668" s="36">
        <v>20000310011</v>
      </c>
      <c r="C1668" s="36" t="s">
        <v>745</v>
      </c>
      <c r="D1668" s="36" t="s">
        <v>746</v>
      </c>
      <c r="E1668" s="36" t="s">
        <v>3493</v>
      </c>
      <c r="F1668" s="36" t="s">
        <v>656</v>
      </c>
      <c r="G1668" s="36" t="s">
        <v>244</v>
      </c>
      <c r="H1668" s="36">
        <v>1</v>
      </c>
    </row>
    <row r="1669" spans="1:8" ht="12.75" customHeight="1" x14ac:dyDescent="0.3">
      <c r="A1669" s="36">
        <v>9042</v>
      </c>
      <c r="B1669" s="36">
        <v>20000310011</v>
      </c>
      <c r="C1669" s="36" t="s">
        <v>759</v>
      </c>
      <c r="D1669" s="36" t="s">
        <v>760</v>
      </c>
      <c r="E1669" s="36" t="s">
        <v>663</v>
      </c>
      <c r="F1669" s="36" t="s">
        <v>742</v>
      </c>
      <c r="G1669" s="36" t="s">
        <v>213</v>
      </c>
      <c r="H1669" s="36">
        <v>1</v>
      </c>
    </row>
    <row r="1670" spans="1:8" ht="12.75" customHeight="1" x14ac:dyDescent="0.3">
      <c r="A1670" s="36">
        <v>9045</v>
      </c>
      <c r="B1670" s="36">
        <v>20000340011</v>
      </c>
      <c r="C1670" s="36" t="s">
        <v>929</v>
      </c>
      <c r="D1670" s="36" t="s">
        <v>930</v>
      </c>
      <c r="E1670" s="36" t="s">
        <v>3493</v>
      </c>
      <c r="F1670" s="36" t="s">
        <v>656</v>
      </c>
      <c r="G1670" s="36" t="s">
        <v>244</v>
      </c>
      <c r="H1670" s="36">
        <v>1</v>
      </c>
    </row>
    <row r="1671" spans="1:8" ht="12.75" customHeight="1" x14ac:dyDescent="0.3">
      <c r="A1671" s="36">
        <v>9051</v>
      </c>
      <c r="B1671" s="36">
        <v>20000310011</v>
      </c>
      <c r="C1671" s="36" t="s">
        <v>767</v>
      </c>
      <c r="D1671" s="36" t="s">
        <v>768</v>
      </c>
      <c r="E1671" s="36" t="s">
        <v>663</v>
      </c>
      <c r="F1671" s="36" t="s">
        <v>742</v>
      </c>
      <c r="G1671" s="36" t="s">
        <v>213</v>
      </c>
      <c r="H1671" s="36">
        <v>1</v>
      </c>
    </row>
    <row r="1672" spans="1:8" ht="12.75" customHeight="1" x14ac:dyDescent="0.3">
      <c r="A1672" s="36">
        <v>9052</v>
      </c>
      <c r="B1672" s="36">
        <v>20000310011</v>
      </c>
      <c r="C1672" s="36" t="s">
        <v>888</v>
      </c>
      <c r="D1672" s="36" t="s">
        <v>695</v>
      </c>
      <c r="E1672" s="36" t="s">
        <v>663</v>
      </c>
      <c r="F1672" s="36" t="s">
        <v>742</v>
      </c>
      <c r="G1672" s="36" t="s">
        <v>213</v>
      </c>
      <c r="H1672" s="36">
        <v>1</v>
      </c>
    </row>
    <row r="1673" spans="1:8" ht="12.75" customHeight="1" x14ac:dyDescent="0.3">
      <c r="A1673" s="36">
        <v>9055</v>
      </c>
      <c r="B1673" s="36">
        <v>20000340011</v>
      </c>
      <c r="C1673" s="36" t="s">
        <v>931</v>
      </c>
      <c r="D1673" s="36" t="s">
        <v>932</v>
      </c>
      <c r="E1673" s="36" t="s">
        <v>3493</v>
      </c>
      <c r="F1673" s="36" t="s">
        <v>656</v>
      </c>
      <c r="G1673" s="36" t="s">
        <v>244</v>
      </c>
      <c r="H1673" s="36">
        <v>1</v>
      </c>
    </row>
    <row r="1674" spans="1:8" ht="12.75" customHeight="1" x14ac:dyDescent="0.3">
      <c r="A1674" s="36">
        <v>9063</v>
      </c>
      <c r="B1674" s="36">
        <v>20000310011</v>
      </c>
      <c r="C1674" s="36" t="s">
        <v>734</v>
      </c>
      <c r="D1674" s="36" t="s">
        <v>735</v>
      </c>
      <c r="E1674" s="36" t="s">
        <v>3493</v>
      </c>
      <c r="F1674" s="36" t="s">
        <v>656</v>
      </c>
      <c r="G1674" s="36" t="s">
        <v>244</v>
      </c>
      <c r="H1674" s="36">
        <v>1</v>
      </c>
    </row>
    <row r="1675" spans="1:8" ht="12.75" customHeight="1" x14ac:dyDescent="0.3">
      <c r="A1675" s="36">
        <v>9073</v>
      </c>
      <c r="B1675" s="36">
        <v>20000310011</v>
      </c>
      <c r="C1675" s="36" t="s">
        <v>753</v>
      </c>
      <c r="D1675" s="36" t="s">
        <v>754</v>
      </c>
      <c r="E1675" s="36" t="s">
        <v>3493</v>
      </c>
      <c r="F1675" s="36" t="s">
        <v>656</v>
      </c>
      <c r="G1675" s="36" t="s">
        <v>244</v>
      </c>
      <c r="H1675" s="36">
        <v>1</v>
      </c>
    </row>
    <row r="1676" spans="1:8" ht="12.75" customHeight="1" x14ac:dyDescent="0.3">
      <c r="A1676" s="36">
        <v>9079</v>
      </c>
      <c r="B1676" s="36">
        <v>20000310011</v>
      </c>
      <c r="C1676" s="36" t="s">
        <v>755</v>
      </c>
      <c r="D1676" s="36" t="s">
        <v>756</v>
      </c>
      <c r="E1676" s="36" t="s">
        <v>3493</v>
      </c>
      <c r="F1676" s="36" t="s">
        <v>656</v>
      </c>
      <c r="G1676" s="36" t="s">
        <v>244</v>
      </c>
      <c r="H1676" s="36">
        <v>1</v>
      </c>
    </row>
    <row r="1677" spans="1:8" ht="12.75" customHeight="1" x14ac:dyDescent="0.3">
      <c r="A1677" s="36">
        <v>9097</v>
      </c>
      <c r="B1677" s="36">
        <v>20000310011</v>
      </c>
      <c r="C1677" s="36" t="s">
        <v>763</v>
      </c>
      <c r="D1677" s="36" t="s">
        <v>764</v>
      </c>
      <c r="E1677" s="36" t="s">
        <v>3493</v>
      </c>
      <c r="F1677" s="36" t="s">
        <v>656</v>
      </c>
      <c r="G1677" s="36" t="s">
        <v>244</v>
      </c>
      <c r="H1677" s="36">
        <v>1</v>
      </c>
    </row>
    <row r="1678" spans="1:8" ht="12.75" customHeight="1" x14ac:dyDescent="0.3">
      <c r="A1678" s="36">
        <v>9099</v>
      </c>
      <c r="B1678" s="36">
        <v>20000340011</v>
      </c>
      <c r="C1678" s="36" t="s">
        <v>927</v>
      </c>
      <c r="D1678" s="36" t="s">
        <v>928</v>
      </c>
      <c r="E1678" s="36" t="s">
        <v>3493</v>
      </c>
      <c r="F1678" s="36" t="s">
        <v>656</v>
      </c>
      <c r="G1678" s="36" t="s">
        <v>244</v>
      </c>
      <c r="H1678" s="36">
        <v>1</v>
      </c>
    </row>
    <row r="1679" spans="1:8" ht="12.75" customHeight="1" x14ac:dyDescent="0.3">
      <c r="A1679" s="36">
        <v>9103</v>
      </c>
      <c r="B1679" s="36">
        <v>20000310011</v>
      </c>
      <c r="C1679" s="36" t="s">
        <v>736</v>
      </c>
      <c r="D1679" s="36" t="s">
        <v>737</v>
      </c>
      <c r="E1679" s="36" t="s">
        <v>3493</v>
      </c>
      <c r="F1679" s="36" t="s">
        <v>656</v>
      </c>
      <c r="G1679" s="36" t="s">
        <v>244</v>
      </c>
      <c r="H1679" s="36">
        <v>1</v>
      </c>
    </row>
    <row r="1680" spans="1:8" ht="12.75" customHeight="1" x14ac:dyDescent="0.3">
      <c r="A1680" s="36">
        <v>9104</v>
      </c>
      <c r="B1680" s="36">
        <v>20000310011</v>
      </c>
      <c r="C1680" s="36" t="s">
        <v>3277</v>
      </c>
      <c r="D1680" s="36" t="s">
        <v>754</v>
      </c>
      <c r="E1680" s="36" t="s">
        <v>3493</v>
      </c>
      <c r="F1680" s="36" t="s">
        <v>656</v>
      </c>
      <c r="G1680" s="36" t="s">
        <v>244</v>
      </c>
      <c r="H1680" s="36">
        <v>1</v>
      </c>
    </row>
    <row r="1681" spans="1:8" ht="12.75" customHeight="1" x14ac:dyDescent="0.3">
      <c r="A1681" s="36">
        <v>9105</v>
      </c>
      <c r="B1681" s="36">
        <v>20000310011</v>
      </c>
      <c r="C1681" s="36" t="s">
        <v>771</v>
      </c>
      <c r="D1681" s="36" t="s">
        <v>772</v>
      </c>
      <c r="E1681" s="36" t="s">
        <v>3493</v>
      </c>
      <c r="F1681" s="36" t="s">
        <v>656</v>
      </c>
      <c r="G1681" s="36" t="s">
        <v>244</v>
      </c>
      <c r="H1681" s="36">
        <v>1</v>
      </c>
    </row>
    <row r="1682" spans="1:8" ht="12.75" customHeight="1" x14ac:dyDescent="0.3">
      <c r="A1682" s="36">
        <v>9106</v>
      </c>
      <c r="B1682" s="36">
        <v>20000310011</v>
      </c>
      <c r="C1682" s="36" t="s">
        <v>761</v>
      </c>
      <c r="D1682" s="36" t="s">
        <v>762</v>
      </c>
      <c r="E1682" s="36" t="s">
        <v>3493</v>
      </c>
      <c r="F1682" s="36" t="s">
        <v>656</v>
      </c>
      <c r="G1682" s="36" t="s">
        <v>244</v>
      </c>
      <c r="H1682" s="36">
        <v>1</v>
      </c>
    </row>
    <row r="1683" spans="1:8" ht="12.75" customHeight="1" x14ac:dyDescent="0.3">
      <c r="A1683" s="36">
        <v>9107</v>
      </c>
      <c r="B1683" s="36">
        <v>20000310011</v>
      </c>
      <c r="C1683" s="36" t="s">
        <v>749</v>
      </c>
      <c r="D1683" s="36" t="s">
        <v>750</v>
      </c>
      <c r="E1683" s="36" t="s">
        <v>3493</v>
      </c>
      <c r="F1683" s="36" t="s">
        <v>656</v>
      </c>
      <c r="G1683" s="36" t="s">
        <v>244</v>
      </c>
      <c r="H1683" s="36">
        <v>1</v>
      </c>
    </row>
    <row r="1684" spans="1:8" ht="12.75" customHeight="1" x14ac:dyDescent="0.3">
      <c r="A1684" s="36">
        <v>9108</v>
      </c>
      <c r="B1684" s="36">
        <v>20000310011</v>
      </c>
      <c r="C1684" s="36" t="s">
        <v>757</v>
      </c>
      <c r="D1684" s="36" t="s">
        <v>758</v>
      </c>
      <c r="E1684" s="36" t="s">
        <v>3493</v>
      </c>
      <c r="F1684" s="36" t="s">
        <v>656</v>
      </c>
      <c r="G1684" s="36" t="s">
        <v>244</v>
      </c>
      <c r="H1684" s="36">
        <v>1</v>
      </c>
    </row>
    <row r="1685" spans="1:8" ht="12.75" customHeight="1" x14ac:dyDescent="0.3">
      <c r="A1685" s="36">
        <v>9109</v>
      </c>
      <c r="B1685" s="36">
        <v>20000310011</v>
      </c>
      <c r="C1685" s="36" t="s">
        <v>738</v>
      </c>
      <c r="D1685" s="36" t="s">
        <v>739</v>
      </c>
      <c r="E1685" s="36" t="s">
        <v>3493</v>
      </c>
      <c r="F1685" s="36" t="s">
        <v>656</v>
      </c>
      <c r="G1685" s="36" t="s">
        <v>244</v>
      </c>
      <c r="H1685" s="36">
        <v>1</v>
      </c>
    </row>
    <row r="1686" spans="1:8" ht="12.75" customHeight="1" x14ac:dyDescent="0.3">
      <c r="A1686" s="36">
        <v>9110</v>
      </c>
      <c r="B1686" s="36">
        <v>20000310011</v>
      </c>
      <c r="C1686" s="36" t="s">
        <v>2539</v>
      </c>
      <c r="D1686" s="36" t="s">
        <v>2540</v>
      </c>
      <c r="E1686" s="36" t="s">
        <v>663</v>
      </c>
      <c r="F1686" s="36" t="s">
        <v>742</v>
      </c>
      <c r="G1686" s="36" t="s">
        <v>244</v>
      </c>
      <c r="H1686" s="36">
        <v>0.5</v>
      </c>
    </row>
    <row r="1687" spans="1:8" ht="12.75" customHeight="1" x14ac:dyDescent="0.3">
      <c r="A1687" s="36">
        <v>9111</v>
      </c>
      <c r="B1687" s="36">
        <v>20000310011</v>
      </c>
      <c r="C1687" s="36" t="s">
        <v>2807</v>
      </c>
      <c r="D1687" s="36" t="s">
        <v>1078</v>
      </c>
      <c r="E1687" s="36" t="s">
        <v>663</v>
      </c>
      <c r="F1687" s="36" t="s">
        <v>742</v>
      </c>
      <c r="G1687" s="36" t="s">
        <v>244</v>
      </c>
      <c r="H1687" s="36">
        <v>0.5</v>
      </c>
    </row>
    <row r="1688" spans="1:8" ht="12.75" customHeight="1" x14ac:dyDescent="0.3">
      <c r="A1688" s="36">
        <v>9112</v>
      </c>
      <c r="B1688" s="36">
        <v>20000330011</v>
      </c>
      <c r="C1688" s="36" t="s">
        <v>3168</v>
      </c>
      <c r="D1688" s="36" t="s">
        <v>852</v>
      </c>
      <c r="E1688" s="36" t="s">
        <v>663</v>
      </c>
      <c r="F1688" s="36" t="s">
        <v>742</v>
      </c>
      <c r="G1688" s="36" t="s">
        <v>244</v>
      </c>
      <c r="H1688" s="36">
        <v>1</v>
      </c>
    </row>
  </sheetData>
  <sortState ref="A3:IV1430">
    <sortCondition ref="A3:A1430"/>
  </sortState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Email Master</vt:lpstr>
      <vt:lpstr>Trans Page</vt:lpstr>
      <vt:lpstr>Working</vt:lpstr>
      <vt:lpstr>Monthly EE List</vt:lpstr>
    </vt:vector>
  </TitlesOfParts>
  <Company>Henry Schein Canada,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Winslow x 3037</dc:creator>
  <cp:lastModifiedBy>Jennifer Li</cp:lastModifiedBy>
  <cp:lastPrinted>2012-08-08T20:16:59Z</cp:lastPrinted>
  <dcterms:created xsi:type="dcterms:W3CDTF">2011-01-19T19:02:09Z</dcterms:created>
  <dcterms:modified xsi:type="dcterms:W3CDTF">2017-04-10T16:24:56Z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